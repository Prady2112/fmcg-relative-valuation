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mps" sheetId="2" state="visible" r:id="rId4"/>
    <sheet name="3-Statement Model" sheetId="3" state="visible" r:id="rId5"/>
    <sheet name="DCF Valuation" sheetId="4" state="visible" r:id="rId6"/>
    <sheet name="Sensitivity" sheetId="5" state="visible" r:id="rId7"/>
    <sheet name="Valuation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Source: Screener.in consolidated Profit &amp; Loss, FY2026 (year ended Mar-2026). EBITDA proxied by reported Operating Profit (Sales less Expenses, pre-D&amp;A add-back not separately disclosed for all peers; Operating Profit already excludes D&amp;A per Screener convention, so it approximates EBIT+D&amp;A = EBITDA).</t>
        </r>
      </text>
    </comment>
    <comment ref="D12" authorId="0">
      <text>
        <r>
          <rPr>
            <sz val="10"/>
            <rFont val="Arial"/>
            <family val="2"/>
          </rPr>
          <t xml:space="preserve">Britannia FY2026 Operating Profit ₹3,514 Cr on Sales ₹19,152 Cr (OPM 18%). Source: Screener.in / Britannia Industries FY26 consolidated results.</t>
        </r>
      </text>
    </comment>
    <comment ref="K7" authorId="0">
      <text>
        <r>
          <rPr>
            <sz val="10"/>
            <rFont val="Arial"/>
            <family val="2"/>
          </rPr>
          <t xml:space="preserve">Net Debt = Borrowings less Investments (proxy for cash &amp; cash equivalents / liquid investments) per FY2026 consolidated balance sheet, Screener.in. For Godrej Consumer &amp; Marico, granular investment/cash data was not pulled; net debt assumed ~0 given both are reported as low-leverage.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Assumption: gradual moderation from ~9% (in line with recent volume+price growth momentum) towards ~7% by FY31, converging with Britannia's 10-yr historical sales CAGR of 9% and 5-yr CAGR of 8% (Source: Screener.in). Editable — flex this to stress-test valuation.</t>
        </r>
      </text>
    </comment>
    <comment ref="B9" authorId="0">
      <text>
        <r>
          <rPr>
            <sz val="10"/>
            <rFont val="Arial"/>
            <family val="2"/>
          </rPr>
          <t xml:space="preserve">Assumption: gradual margin expansion from FY26 actual of 18.4% towards 19.5% by FY31, reflecting operating leverage and premiumisation, partly offset by input cost inflation. Britannia's 5-yr average OPM is ~18%.</t>
        </r>
      </text>
    </comment>
    <comment ref="B10" authorId="0">
      <text>
        <r>
          <rPr>
            <sz val="10"/>
            <rFont val="Arial"/>
            <family val="2"/>
          </rPr>
          <t xml:space="preserve">Assumption: effective tax rate normalises near 24.5%, close to India's base corporate tax rate under Section 115BAA (~25.17% incl. surcharge/cess) after the low FY26 rate of 23% (partly aided by one-off items).</t>
        </r>
      </text>
    </comment>
    <comment ref="B27" authorId="0">
      <text>
        <r>
          <rPr>
            <sz val="10"/>
            <rFont val="Arial"/>
            <family val="2"/>
          </rPr>
          <t xml:space="preserve">Interest expense held at FY26 actual (₹113 Cr) for FY27E as starting point; thereafter driven by avg. borrowings x interest rate assumption (linked from Balance Sheet).</t>
        </r>
      </text>
    </comment>
    <comment ref="B38" authorId="0">
      <text>
        <r>
          <rPr>
            <sz val="10"/>
            <rFont val="Arial"/>
            <family val="2"/>
          </rPr>
          <t xml:space="preserve">Simplifying assumption: non-core Investments held flat at the FY26 actual level (₹2,865 Cr) through the projection period, since Britannia's capital allocation policy for surplus cash (buybacks/dividends/investments) is not separately modelled here.</t>
        </r>
      </text>
    </comment>
    <comment ref="B40" authorId="0">
      <text>
        <r>
          <rPr>
            <sz val="10"/>
            <rFont val="Arial"/>
            <family val="2"/>
          </rPr>
          <t xml:space="preserve">Cash is the balancing plug: Cash = (Debt + Other Liabilities + Equity) − (Net Fixed Assets + Investments + Net Working Capital). Investments and Other Liabilities are simplifying assumptions (see notes) — a genuine full model would forecast these independently.</t>
        </r>
      </text>
    </comment>
    <comment ref="B53" authorId="0">
      <text>
        <r>
          <rPr>
            <sz val="10"/>
            <rFont val="Arial"/>
            <family val="2"/>
          </rPr>
          <t xml:space="preserve">Unlevered-style Free Cash Flow (CFO less Capex) used directly as the DCF input on the 'DCF Valuation' tab for FY27E-FY31E.</t>
        </r>
      </text>
    </comment>
    <comment ref="C20" authorId="0">
      <text>
        <r>
          <rPr>
            <sz val="10"/>
            <rFont val="Arial"/>
            <family val="2"/>
          </rPr>
          <t xml:space="preserve">Source: Screener.in, Britannia consolidated Sales, FY2024 (Mar-2024).</t>
        </r>
      </text>
    </comment>
    <comment ref="E20" authorId="0">
      <text>
        <r>
          <rPr>
            <sz val="10"/>
            <rFont val="Arial"/>
            <family val="2"/>
          </rPr>
          <t xml:space="preserve">Source: Screener.in, Britannia consolidated Sales, FY2026 (Mar-2026).</t>
        </r>
      </text>
    </comment>
    <comment ref="E22" authorId="0">
      <text>
        <r>
          <rPr>
            <sz val="10"/>
            <rFont val="Arial"/>
            <family val="2"/>
          </rPr>
          <t xml:space="preserve">Source: Screener.in, Britannia Operating Profit, FY2026.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Assumption: WACC ~11% for a low-leverage, large-cap Indian FMCG company — cost of equity ~12-13% (CAPM: risk-free ~7% + beta ~0.6-0.7 x equity risk premium ~7-8%), cost of debt immaterial given minimal net debt.</t>
        </r>
      </text>
    </comment>
    <comment ref="B7" authorId="0">
      <text>
        <r>
          <rPr>
            <sz val="10"/>
            <rFont val="Arial"/>
            <family val="2"/>
          </rPr>
          <t xml:space="preserve">Assumption: ~5% perpetual growth, broadly in line with long-run nominal GDP growth for India (real GDP ~6-6.5% + inflation ~4%, moderated for a mature large-cap FMCG franchise).</t>
        </r>
      </text>
    </comment>
    <comment ref="B8" authorId="0">
      <text>
        <r>
          <rPr>
            <sz val="10"/>
            <rFont val="Arial"/>
            <family val="2"/>
          </rPr>
          <t xml:space="preserve">Source: Screener.in — Britannia equity capital ₹24 Cr at face value ₹1/share = 24.00 Cr shares.</t>
        </r>
      </text>
    </comment>
    <comment ref="B9" authorId="0">
      <text>
        <r>
          <rPr>
            <sz val="10"/>
            <rFont val="Arial"/>
            <family val="2"/>
          </rPr>
          <t xml:space="preserve">Source: Screener.in, Britannia Industries closing price, 10-Jun-2026.</t>
        </r>
      </text>
    </comment>
  </commentList>
</comments>
</file>

<file path=xl/sharedStrings.xml><?xml version="1.0" encoding="utf-8"?>
<sst xmlns="http://schemas.openxmlformats.org/spreadsheetml/2006/main" count="212" uniqueCount="175">
  <si>
    <t xml:space="preserve">Valuation of Industry Peers — FMCG Sector (India)</t>
  </si>
  <si>
    <t xml:space="preserve">Relative Valuation &amp; 3-Statement Financial Model — Britannia Industries Ltd (Target)</t>
  </si>
  <si>
    <t xml:space="preserve">Prepared: July 2026  |  Currency: INR Crores unless stated  |  Fiscal Year End: March</t>
  </si>
  <si>
    <t xml:space="preserve">Scope</t>
  </si>
  <si>
    <t xml:space="preserve">Relative valuation of 7 listed FMCG companies (EV/EBITDA, P/E, P/B) benchmarked against peer averages; a 5-year 3-statement financial model and DCF for Britannia Industries Ltd (target company); sensitivity testing on WACC and terminal growth.</t>
  </si>
  <si>
    <t xml:space="preserve">Peer Set (Sector: FMCG — India)</t>
  </si>
  <si>
    <t xml:space="preserve">Britannia Industries Ltd</t>
  </si>
  <si>
    <t xml:space="preserve">BRITANNIA</t>
  </si>
  <si>
    <t xml:space="preserve">Packaged Foods (Biscuits/Bakery) — TARGET COMPANY</t>
  </si>
  <si>
    <t xml:space="preserve">Hindustan Unilever Ltd</t>
  </si>
  <si>
    <t xml:space="preserve">HINDUNILVR</t>
  </si>
  <si>
    <t xml:space="preserve">Diversified FMCG (Home/Personal Care, Foods)</t>
  </si>
  <si>
    <t xml:space="preserve">ITC Ltd</t>
  </si>
  <si>
    <t xml:space="preserve">ITC</t>
  </si>
  <si>
    <t xml:space="preserve">Diversified FMCG (Cigarettes, Foods, Personal Care)</t>
  </si>
  <si>
    <t xml:space="preserve">Nestlé India Ltd</t>
  </si>
  <si>
    <t xml:space="preserve">NESTLEIND</t>
  </si>
  <si>
    <t xml:space="preserve">Packaged Foods &amp; Beverages</t>
  </si>
  <si>
    <t xml:space="preserve">Dabur India Ltd</t>
  </si>
  <si>
    <t xml:space="preserve">DABUR</t>
  </si>
  <si>
    <t xml:space="preserve">Personal Care / Ayurvedic FMCG</t>
  </si>
  <si>
    <t xml:space="preserve">Godrej Consumer Products Ltd</t>
  </si>
  <si>
    <t xml:space="preserve">GODREJCP</t>
  </si>
  <si>
    <t xml:space="preserve">Personal &amp; Home Care</t>
  </si>
  <si>
    <t xml:space="preserve">Marico Ltd</t>
  </si>
  <si>
    <t xml:space="preserve">MARICO</t>
  </si>
  <si>
    <t xml:space="preserve">Personal Care / Edible Oils</t>
  </si>
  <si>
    <t xml:space="preserve">Contents</t>
  </si>
  <si>
    <t xml:space="preserve">1. Comps — Comparable Company Analysis (EV/EBITDA, P/E, P/B)</t>
  </si>
  <si>
    <t xml:space="preserve">2. 3-Statement Model — Britannia Industries (FY24A-FY26A, FY27E-FY31E)</t>
  </si>
  <si>
    <t xml:space="preserve">3. DCF Valuation — 5-Year FCF Projection + Terminal Value</t>
  </si>
  <si>
    <t xml:space="preserve">4. Sensitivity — WACC x Terminal Growth Rate (implied share price)</t>
  </si>
  <si>
    <t xml:space="preserve">5. Valuation Summary &amp; Conclusion</t>
  </si>
  <si>
    <t xml:space="preserve">Data sources</t>
  </si>
  <si>
    <t xml:space="preserve">Company financials (FY24-FY26 actuals): Screener.in, compiled from company audited consolidated financial statements filed with BSE/NSE. Market data (price, market cap, P/E, P/B) as of early-June 2026 close. All figures in ₹ Crores unless noted. Blue = hardcoded/sourced inputs; Black = formulas; Green = cross-sheet links.</t>
  </si>
  <si>
    <t xml:space="preserve">Comparable Company Analysis — Indian FMCG Sector</t>
  </si>
  <si>
    <t xml:space="preserve">FY2026 (year ended Mar-2026) actuals; market data as of early-June 2026. ₹ Crores except per-share and ratios.</t>
  </si>
  <si>
    <t xml:space="preserve">Company</t>
  </si>
  <si>
    <t xml:space="preserve">Revenue</t>
  </si>
  <si>
    <t xml:space="preserve">EBITDA*</t>
  </si>
  <si>
    <t xml:space="preserve">EBITDA
Margin</t>
  </si>
  <si>
    <t xml:space="preserve">Net
Profit</t>
  </si>
  <si>
    <t xml:space="preserve">Net
Margin</t>
  </si>
  <si>
    <t xml:space="preserve">EPS (₹)</t>
  </si>
  <si>
    <t xml:space="preserve">Shares
(Cr)</t>
  </si>
  <si>
    <t xml:space="preserve">Market
Cap</t>
  </si>
  <si>
    <t xml:space="preserve">Net
Debt**</t>
  </si>
  <si>
    <t xml:space="preserve">EV</t>
  </si>
  <si>
    <t xml:space="preserve">EV/
EBITDA</t>
  </si>
  <si>
    <t xml:space="preserve">P/E</t>
  </si>
  <si>
    <t xml:space="preserve">Book Val/
Share (₹)</t>
  </si>
  <si>
    <t xml:space="preserve">P/B</t>
  </si>
  <si>
    <t xml:space="preserve">ROE</t>
  </si>
  <si>
    <t xml:space="preserve">Britannia Industries</t>
  </si>
  <si>
    <t xml:space="preserve">Hindustan Unilever</t>
  </si>
  <si>
    <t xml:space="preserve">Nestle India</t>
  </si>
  <si>
    <t xml:space="preserve">Dabur India</t>
  </si>
  <si>
    <t xml:space="preserve">Godrej Consumer</t>
  </si>
  <si>
    <t xml:space="preserve">n/a</t>
  </si>
  <si>
    <t xml:space="preserve">Peer Average (ex-Britannia)</t>
  </si>
  <si>
    <t xml:space="preserve">Peer Median (ex-Britannia)</t>
  </si>
  <si>
    <t xml:space="preserve">Notes:</t>
  </si>
  <si>
    <t xml:space="preserve">• * EBITDA proxied by reported Operating Profit (pre-interest, pre-tax, pre-D&amp;A per Screener.in convention).</t>
  </si>
  <si>
    <t xml:space="preserve">• ** Net Debt = Total Borrowings − Investments (cash/liquid investments proxy). Negative = net cash position.</t>
  </si>
  <si>
    <t xml:space="preserve">• Godrej Consumer &amp; Marico EBITDA estimated from disclosed operating margins in recent quarterly commentary (~21% and ~19% respectively); flagged as estimates.</t>
  </si>
  <si>
    <t xml:space="preserve">• All figures are consolidated, FY2026 (year ended 31-Mar-2026), sourced from Screener.in (compiled from company filings). Market data as of early-June 2026.</t>
  </si>
  <si>
    <t xml:space="preserve">Britannia Industries Ltd — 3-Statement Financial Model (₹ Crores)</t>
  </si>
  <si>
    <t xml:space="preserve">FY24A-FY26A actuals (Screener.in); FY27E-FY31E projected on assumptions below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</si>
  <si>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</si>
  <si>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</si>
  <si>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</si>
  <si>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</si>
  <si>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</si>
  <si>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</si>
  <si>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</si>
  <si>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</si>
  <si>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KEY ASSUMPTIONS (projection years only)</t>
  </si>
  <si>
    <t xml:space="preserve">Revenue growth %</t>
  </si>
  <si>
    <t xml:space="preserve">EBITDA margin %</t>
  </si>
  <si>
    <t xml:space="preserve">Tax rate %</t>
  </si>
  <si>
    <t xml:space="preserve">D&amp;A (% of revenue)</t>
  </si>
  <si>
    <t xml:space="preserve">Capex (% of revenue)</t>
  </si>
  <si>
    <t xml:space="preserve">Net working capital (% of revenue)</t>
  </si>
  <si>
    <t xml:space="preserve">Interest expense (% of avg borrowings)</t>
  </si>
  <si>
    <t xml:space="preserve">Dividend payout ratio %</t>
  </si>
  <si>
    <t xml:space="preserve">NOTE: Cells highlighted in yellow are editable assumptions — change them to re-run the model / sensitivity.</t>
  </si>
  <si>
    <t xml:space="preserve">INCOME STATEMENT</t>
  </si>
  <si>
    <t xml:space="preserve">   Revenue growth %</t>
  </si>
  <si>
    <t xml:space="preserve">EBITDA</t>
  </si>
  <si>
    <t xml:space="preserve">   EBITDA margin %</t>
  </si>
  <si>
    <t xml:space="preserve">Less: D&amp;A</t>
  </si>
  <si>
    <t xml:space="preserve">EBIT</t>
  </si>
  <si>
    <t xml:space="preserve">Add: Other income</t>
  </si>
  <si>
    <t xml:space="preserve">Less: Interest expense</t>
  </si>
  <si>
    <t xml:space="preserve">PBT (Profit Before Tax)</t>
  </si>
  <si>
    <t xml:space="preserve">Less: Tax</t>
  </si>
  <si>
    <t xml:space="preserve">Net Income</t>
  </si>
  <si>
    <t xml:space="preserve">   Net margin %</t>
  </si>
  <si>
    <t xml:space="preserve">BALANCE SHEET (SIMPLIFIED)</t>
  </si>
  <si>
    <t xml:space="preserve">Net Fixed Assets (opening)</t>
  </si>
  <si>
    <t xml:space="preserve">Add: Capex</t>
  </si>
  <si>
    <t xml:space="preserve">Net Fixed Assets (closing)</t>
  </si>
  <si>
    <t xml:space="preserve">Investments (held constant)</t>
  </si>
  <si>
    <t xml:space="preserve">Net Working Capital</t>
  </si>
  <si>
    <t xml:space="preserve">Cash &amp; Cash Equivalents (plug)</t>
  </si>
  <si>
    <t xml:space="preserve">Total Assets</t>
  </si>
  <si>
    <t xml:space="preserve">Borrowings (held constant)</t>
  </si>
  <si>
    <t xml:space="preserve">Other Liabilities (% of revenue)</t>
  </si>
  <si>
    <t xml:space="preserve">Shareholders' Equity (closing)</t>
  </si>
  <si>
    <t xml:space="preserve">Total Liabilities &amp; Equity</t>
  </si>
  <si>
    <t xml:space="preserve">CASH FLOW STATEMENT (SIMPLIFIED)</t>
  </si>
  <si>
    <t xml:space="preserve">Add: D&amp;A</t>
  </si>
  <si>
    <t xml:space="preserve">Less: Increase in Net Working Capital</t>
  </si>
  <si>
    <t xml:space="preserve">Cash Flow from Operations (CFO)</t>
  </si>
  <si>
    <t xml:space="preserve">Less: Capex</t>
  </si>
  <si>
    <t xml:space="preserve">Free Cash Flow (FCF)</t>
  </si>
  <si>
    <t xml:space="preserve">Less: Dividends Paid</t>
  </si>
  <si>
    <t xml:space="preserve">Net Change in Cash</t>
  </si>
  <si>
    <t xml:space="preserve">Britannia Industries Ltd — DCF Valuation (5-Year FCF Horizon)</t>
  </si>
  <si>
    <t xml:space="preserve">Discounted Cash Flow using unlevered FCF from the 3-Statement Model + Gordon Growth terminal value</t>
  </si>
  <si>
    <t xml:space="preserve">VALUATION ASSUMPTIONS</t>
  </si>
  <si>
    <t xml:space="preserve">WACC (discount rate)</t>
  </si>
  <si>
    <t xml:space="preserve">Terminal growth rate (g)</t>
  </si>
  <si>
    <t xml:space="preserve">Shares outstanding (Cr)</t>
  </si>
  <si>
    <t xml:space="preserve">Current share price (₹)</t>
  </si>
  <si>
    <t xml:space="preserve">FREE CASH FLOW PROJECTION (₹ Crores)</t>
  </si>
  <si>
    <t xml:space="preserve">Discount period (years)</t>
  </si>
  <si>
    <t xml:space="preserve">Discount factor</t>
  </si>
  <si>
    <t xml:space="preserve">PV of FCF</t>
  </si>
  <si>
    <t xml:space="preserve">TERMINAL VALUE &amp; ENTERPRISE VALUE</t>
  </si>
  <si>
    <t xml:space="preserve">Terminal Year FCF (FY31E)</t>
  </si>
  <si>
    <t xml:space="preserve">Terminal Value = FCF x (1+g) / (WACC-g)</t>
  </si>
  <si>
    <t xml:space="preserve">PV of Terminal Value</t>
  </si>
  <si>
    <t xml:space="preserve">Sum of PV of FCF (FY27E-FY31E)</t>
  </si>
  <si>
    <t xml:space="preserve">Enterprise Value (EV)</t>
  </si>
  <si>
    <t xml:space="preserve">   % of EV from Terminal Value</t>
  </si>
  <si>
    <t xml:space="preserve">EQUITY VALUE &amp; IMPLIED SHARE PRICE</t>
  </si>
  <si>
    <t xml:space="preserve">Less: Net Debt (FY26A)</t>
  </si>
  <si>
    <t xml:space="preserve">Equity Value</t>
  </si>
  <si>
    <t xml:space="preserve">Shares Outstanding (Cr)</t>
  </si>
  <si>
    <t xml:space="preserve">Implied Value per Share (₹)</t>
  </si>
  <si>
    <t xml:space="preserve">Current Share Price (₹)</t>
  </si>
  <si>
    <t xml:space="preserve">Upside / (Downside) to DCF Value</t>
  </si>
  <si>
    <t xml:space="preserve">Sensitivity Analysis — Implied Share Price</t>
  </si>
  <si>
    <t xml:space="preserve">Implied Britannia share price (₹) under varying WACC and terminal growth rate assumptions</t>
  </si>
  <si>
    <t xml:space="preserve">SENSITIVITY: WACC (rows) vs. Terminal Growth Rate (columns)</t>
  </si>
  <si>
    <t xml:space="preserve">WACC \ Terminal g</t>
  </si>
  <si>
    <t xml:space="preserve">Current share price for reference: </t>
  </si>
  <si>
    <t xml:space="preserve">Base case (WACC 11%, g 5%) is highlighted in yellow above and matches the 'DCF Valuation' tab.</t>
  </si>
  <si>
    <t xml:space="preserve">Interpretation: the implied share price is highly sensitive to the terminal growth assumption because ~most of Britannia's DCF value sits in the terminal value (a common feature of mature, high-ROCE FMCG businesses). Small changes in WACC or g materially move the valuation range.</t>
  </si>
  <si>
    <t xml:space="preserve">SENSITIVITY: FY27E Revenue Growth (rows) vs. FY31E EBITDA Margin (columns) — directional, holding WACC=11%, g=5%</t>
  </si>
  <si>
    <t xml:space="preserve">Note: this table is illustrative and shows the FCF sensitivity, not fully re-linked to the 3-Statement Model (which would require iterative recalculation). To test actual scenarios, edit the yellow assumption cells directly on the '3-Statement Model' tab and re-read the 'DCF Valuation' tab output.</t>
  </si>
  <si>
    <t xml:space="preserve">Valuation Summary &amp; Conclusion — Britannia Industries Ltd</t>
  </si>
  <si>
    <t xml:space="preserve">Cross-check of relative (comps-based) and intrinsic (DCF-based) valuation methods</t>
  </si>
  <si>
    <t xml:space="preserve">Method</t>
  </si>
  <si>
    <t xml:space="preserve">Multiple / Basis Applied</t>
  </si>
  <si>
    <t xml:space="preserve">Applied to</t>
  </si>
  <si>
    <t xml:space="preserve">Implied Equity
Value (₹ Cr)</t>
  </si>
  <si>
    <t xml:space="preserve">Implied Price
/ Share (₹)</t>
  </si>
  <si>
    <t xml:space="preserve">Current
Price (₹)</t>
  </si>
  <si>
    <t xml:space="preserve">Upside /
(Downside)</t>
  </si>
  <si>
    <t xml:space="preserve">EV/EBITDA — Peer Average</t>
  </si>
  <si>
    <t xml:space="preserve">EV/EBITDA — Peer Median</t>
  </si>
  <si>
    <t xml:space="preserve">P/E — Peer Average</t>
  </si>
  <si>
    <t xml:space="preserve">P/E — Peer Median</t>
  </si>
  <si>
    <t xml:space="preserve">P/B — Peer Average*</t>
  </si>
  <si>
    <t xml:space="preserve">P/B — Peer Median*</t>
  </si>
  <si>
    <t xml:space="preserve">DCF — Base Case (WACC 11%, g 5%)</t>
  </si>
  <si>
    <t xml:space="preserve">Simple Average — All Methods</t>
  </si>
  <si>
    <t xml:space="preserve">Simple Average — Excl. P/B &amp; DCF**</t>
  </si>
  <si>
    <t xml:space="preserve">* P/B comparison is distorted by wide ROE differences across peers (e.g. Nestlé India's 73% ROE supports a 52x P/B) and is shown for completeness but weighted less heavily in the conclusion.</t>
  </si>
  <si>
    <t xml:space="preserve">** Excludes P/B (distorted by ROE dispersion) and DCF (most sensitive to long-run assumptions); reflects EV/EBITDA and P/E only, the two most comparable relative metrics across this peer set.</t>
  </si>
  <si>
    <t xml:space="preserve">CONCLUSION</t>
  </si>
  <si>
    <t xml:space="preserve">Relative valuation: Britannia trades at ~34.8x EV/EBITDA and ~49.1x P/E (FY26A), versus a 7-company FMCG peer average of ~33.5x EV/EBITDA and ~47.7x P/E. On these two metrics Britannia is roughly IN LINE WITH, TO MODESTLY ABOVE, peer averages (a premium of ~4% on EV/EBITDA and ~3% on P/E) — not a large gap given the diversity of the peer set (e.g. ITC's low multiples reflect its tobacco/diversified mix; Nestlé's very high multiples reflect its exceptional ~73% ROE). On P/B, Britannia (24.5x) screens well above the peer average (16.5x) and median (8.4x), but this is partly explained by its high ROE (53.6%) relative to most peers, so the P/B gap is not, by itself, strong evidence of overvaluation.
Intrinsic (DCF) valuation: Using a base-case 5-year FCF projection (revenue growth moderating from 9% to 7%, EBITDA margin expanding from 18.5% to 19.5%, WACC of 11%, and a 5% terminal growth rate), the DCF implies a fair value of roughly ₹2,250/share — well below the current market price of ₹5,171/share (a ~56% gap). The sensitivity table shows this conclusion is highly dependent on WACC and terminal growth: only under a bullish combination (WACC ~9%, terminal growth ~7%) does the DCF value approach the current price. Because ~76% of the DCF's enterprise value sits in the terminal value, small changes in these long-run assumptions swing the result substantially — a common feature of high-quality, high-multiple compounders.
Overall: on a PURE RELATIVE (peer multiple) basis, Britannia looks FAIRLY VALUED to MODESTLY OVERVALUED versus FMCG peers. On a CONSERVATIVE INTRINSIC (DCF) basis, the stock appears OVERVALUED unless the market's more optimistic long-term growth/margin/cost-of-capital assumptions are accepted. This combination is consistent with a stock priced for continued premiumisation, market-share gains, and margin expansion well beyond what the explicit 5-year forecast captures — i.e., the market is paying up for growth durability, not for current-year fundamentals. A prospective investor's conclusion should hinge on conviction in Britannia sustaining high-single-digit revenue growth AND ~19-20% EBITDA margins for a decade or more, not just the next five years.</t>
  </si>
  <si>
    <t xml:space="preserve">Tools / Methods used: Excel (openpyxl + formulas), Comparable Company Analysis, 3-Statement Financial Modeling, Discounted Cash Flow, Sensitivity (Data Table) Analysis.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</si>
</sst>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₹#,##0.0;&quot;(₹&quot;#,##0.0\);\-"/>
    <numFmt numFmtId="168" formatCode="#,##0.0;\(#,##0.0\);\-"/>
    <numFmt numFmtId="169" formatCode="0.0\x"/>
    <numFmt numFmtId="170" formatCode="\₹#,##0;&quot;(₹&quot;#,##0\);\-"/>
    <numFmt numFmtId="171" formatCode="0.000"/>
    <numFmt numFmtId="172" formatCode="\₹#,##0.00;&quot;(₹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2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  <c r="C7" s="6"/>
      <c r="D7" s="6"/>
      <c r="E7" s="6"/>
      <c r="F7" s="6"/>
      <c r="G7" s="6"/>
    </row>
    <row r="8" customFormat="false" ht="15" hidden="false" customHeight="true" outlineLevel="0" collapsed="false">
      <c r="B8" s="6"/>
      <c r="C8" s="6"/>
      <c r="D8" s="6"/>
      <c r="E8" s="6"/>
      <c r="F8" s="6"/>
      <c r="G8" s="6"/>
    </row>
    <row r="9" customFormat="false" ht="15" hidden="false" customHeight="true" outlineLevel="0" collapsed="false">
      <c r="B9" s="6"/>
      <c r="C9" s="6"/>
      <c r="D9" s="6"/>
      <c r="E9" s="6"/>
      <c r="F9" s="6"/>
      <c r="G9" s="6"/>
    </row>
    <row r="11" customFormat="false" ht="15" hidden="false" customHeight="true" outlineLevel="0" collapsed="false">
      <c r="B11" s="5" t="s">
        <v>5</v>
      </c>
    </row>
    <row r="12" customFormat="false" ht="15" hidden="false" customHeight="true" outlineLevel="0" collapsed="false">
      <c r="B12" s="7" t="s">
        <v>6</v>
      </c>
      <c r="D12" s="7" t="s">
        <v>7</v>
      </c>
      <c r="E12" s="7" t="s">
        <v>8</v>
      </c>
      <c r="F12" s="7"/>
      <c r="G12" s="7"/>
    </row>
    <row r="13" customFormat="false" ht="15" hidden="false" customHeight="true" outlineLevel="0" collapsed="false">
      <c r="B13" s="8" t="s">
        <v>9</v>
      </c>
      <c r="D13" s="8" t="s">
        <v>10</v>
      </c>
      <c r="E13" s="8" t="s">
        <v>11</v>
      </c>
      <c r="F13" s="8"/>
      <c r="G13" s="8"/>
    </row>
    <row r="14" customFormat="false" ht="15" hidden="false" customHeight="true" outlineLevel="0" collapsed="false">
      <c r="B14" s="8" t="s">
        <v>12</v>
      </c>
      <c r="D14" s="8" t="s">
        <v>13</v>
      </c>
      <c r="E14" s="8" t="s">
        <v>14</v>
      </c>
      <c r="F14" s="8"/>
      <c r="G14" s="8"/>
    </row>
    <row r="15" customFormat="false" ht="15" hidden="false" customHeight="true" outlineLevel="0" collapsed="false">
      <c r="B15" s="8" t="s">
        <v>15</v>
      </c>
      <c r="D15" s="8" t="s">
        <v>16</v>
      </c>
      <c r="E15" s="8" t="s">
        <v>17</v>
      </c>
      <c r="F15" s="8"/>
      <c r="G15" s="8"/>
    </row>
    <row r="16" customFormat="false" ht="15" hidden="false" customHeight="true" outlineLevel="0" collapsed="false">
      <c r="B16" s="8" t="s">
        <v>18</v>
      </c>
      <c r="D16" s="8" t="s">
        <v>19</v>
      </c>
      <c r="E16" s="8" t="s">
        <v>20</v>
      </c>
      <c r="F16" s="8"/>
      <c r="G16" s="8"/>
    </row>
    <row r="17" customFormat="false" ht="15" hidden="false" customHeight="true" outlineLevel="0" collapsed="false">
      <c r="B17" s="8" t="s">
        <v>21</v>
      </c>
      <c r="D17" s="8" t="s">
        <v>22</v>
      </c>
      <c r="E17" s="8" t="s">
        <v>23</v>
      </c>
      <c r="F17" s="8"/>
      <c r="G17" s="8"/>
    </row>
    <row r="18" customFormat="false" ht="15" hidden="false" customHeight="true" outlineLevel="0" collapsed="false">
      <c r="B18" s="8" t="s">
        <v>24</v>
      </c>
      <c r="D18" s="8" t="s">
        <v>25</v>
      </c>
      <c r="E18" s="8" t="s">
        <v>26</v>
      </c>
      <c r="F18" s="8"/>
      <c r="G18" s="8"/>
    </row>
    <row r="21" customFormat="false" ht="15" hidden="false" customHeight="true" outlineLevel="0" collapsed="false">
      <c r="B21" s="5" t="s">
        <v>27</v>
      </c>
    </row>
    <row r="22" customFormat="false" ht="15" hidden="false" customHeight="true" outlineLevel="0" collapsed="false">
      <c r="B22" s="9" t="s">
        <v>28</v>
      </c>
    </row>
    <row r="23" customFormat="false" ht="15" hidden="false" customHeight="true" outlineLevel="0" collapsed="false">
      <c r="B23" s="9" t="s">
        <v>29</v>
      </c>
    </row>
    <row r="24" customFormat="false" ht="15" hidden="false" customHeight="true" outlineLevel="0" collapsed="false">
      <c r="B24" s="9" t="s">
        <v>30</v>
      </c>
    </row>
    <row r="25" customFormat="false" ht="15" hidden="false" customHeight="true" outlineLevel="0" collapsed="false">
      <c r="B25" s="9" t="s">
        <v>31</v>
      </c>
    </row>
    <row r="26" customFormat="false" ht="15" hidden="false" customHeight="true" outlineLevel="0" collapsed="false">
      <c r="B26" s="9" t="s">
        <v>32</v>
      </c>
    </row>
    <row r="29" customFormat="false" ht="15" hidden="false" customHeight="true" outlineLevel="0" collapsed="false">
      <c r="B29" s="5" t="s">
        <v>33</v>
      </c>
    </row>
    <row r="30" customFormat="false" ht="15" hidden="false" customHeight="true" outlineLevel="0" collapsed="false">
      <c r="B30" s="10" t="s">
        <v>34</v>
      </c>
      <c r="C30" s="10"/>
      <c r="D30" s="10"/>
      <c r="E30" s="10"/>
      <c r="F30" s="10"/>
      <c r="G30" s="10"/>
    </row>
    <row r="31" customFormat="false" ht="15" hidden="false" customHeight="true" outlineLevel="0" collapsed="false">
      <c r="B31" s="10"/>
      <c r="C31" s="10"/>
      <c r="D31" s="10"/>
      <c r="E31" s="10"/>
      <c r="F31" s="10"/>
      <c r="G31" s="10"/>
    </row>
    <row r="32" customFormat="false" ht="15" hidden="false" customHeight="true" outlineLevel="0" collapsed="false">
      <c r="B32" s="10"/>
      <c r="C32" s="10"/>
      <c r="D32" s="10"/>
      <c r="E32" s="10"/>
      <c r="F32" s="10"/>
      <c r="G32" s="10"/>
    </row>
    <row r="33" customFormat="false" ht="15" hidden="false" customHeight="true" outlineLevel="0" collapsed="false">
      <c r="B33" s="10"/>
      <c r="C33" s="10"/>
      <c r="D33" s="10"/>
      <c r="E33" s="10"/>
      <c r="F33" s="10"/>
      <c r="G33" s="10"/>
    </row>
  </sheetData>
  <mergeCells count="9">
    <mergeCell ref="B7:G9"/>
    <mergeCell ref="E12:G12"/>
    <mergeCell ref="E13:G13"/>
    <mergeCell ref="E14:G14"/>
    <mergeCell ref="E15:G15"/>
    <mergeCell ref="E16:G16"/>
    <mergeCell ref="E17:G17"/>
    <mergeCell ref="E18:G18"/>
    <mergeCell ref="B30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3" min="11" style="1" width="13"/>
    <col collapsed="false" customWidth="true" hidden="false" outlineLevel="0" max="14" min="14" style="1" width="14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13"/>
    <col collapsed="false" customWidth="true" hidden="false" outlineLevel="0" max="18" min="18" style="1" width="8"/>
    <col collapsed="false" customWidth="true" hidden="false" outlineLevel="0" max="19" min="19" style="1" width="9"/>
  </cols>
  <sheetData>
    <row r="2" customFormat="false" ht="19.5" hidden="false" customHeight="true" outlineLevel="0" collapsed="false">
      <c r="B2" s="2" t="s">
        <v>35</v>
      </c>
    </row>
    <row r="3" customFormat="false" ht="15" hidden="false" customHeight="true" outlineLevel="0" collapsed="false">
      <c r="B3" s="3" t="s">
        <v>36</v>
      </c>
    </row>
    <row r="6" customFormat="false" ht="30" hidden="false" customHeight="true" outlineLevel="0" collapsed="false">
      <c r="B6" s="11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49</v>
      </c>
      <c r="O6" s="11" t="s">
        <v>50</v>
      </c>
      <c r="P6" s="11" t="s">
        <v>51</v>
      </c>
      <c r="Q6" s="11" t="s">
        <v>52</v>
      </c>
    </row>
    <row r="7" customFormat="false" ht="15" hidden="false" customHeight="true" outlineLevel="0" collapsed="false">
      <c r="B7" s="7" t="s">
        <v>53</v>
      </c>
      <c r="C7" s="12" t="n">
        <v>19152</v>
      </c>
      <c r="D7" s="12" t="n">
        <v>3514</v>
      </c>
      <c r="E7" s="13" t="n">
        <f aca="false">D7/C7</f>
        <v>0.183479532163743</v>
      </c>
      <c r="F7" s="12" t="n">
        <v>2537</v>
      </c>
      <c r="G7" s="13" t="n">
        <f aca="false">F7/C7</f>
        <v>0.132466583124478</v>
      </c>
      <c r="H7" s="14" t="n">
        <v>105.18</v>
      </c>
      <c r="I7" s="15" t="n">
        <v>24</v>
      </c>
      <c r="J7" s="12" t="n">
        <v>124537</v>
      </c>
      <c r="K7" s="16" t="n">
        <f aca="false">1380-3610</f>
        <v>-2230</v>
      </c>
      <c r="L7" s="16" t="n">
        <f aca="false">J7+K7</f>
        <v>122307</v>
      </c>
      <c r="M7" s="17" t="n">
        <f aca="false">L7/D7</f>
        <v>34.8056346044394</v>
      </c>
      <c r="N7" s="17" t="n">
        <f aca="false">J7/F7</f>
        <v>49.0882932597556</v>
      </c>
      <c r="O7" s="14" t="n">
        <v>212</v>
      </c>
      <c r="P7" s="17" t="n">
        <f aca="false">(J7/I7)/O7</f>
        <v>24.4766116352201</v>
      </c>
      <c r="Q7" s="18" t="n">
        <v>0.536</v>
      </c>
    </row>
    <row r="8" customFormat="false" ht="15" hidden="false" customHeight="true" outlineLevel="0" collapsed="false">
      <c r="B8" s="8" t="s">
        <v>54</v>
      </c>
      <c r="C8" s="19" t="n">
        <v>64468</v>
      </c>
      <c r="D8" s="19" t="n">
        <v>15039</v>
      </c>
      <c r="E8" s="20" t="n">
        <f aca="false">D8/C8</f>
        <v>0.233278525780232</v>
      </c>
      <c r="F8" s="19" t="n">
        <v>15059</v>
      </c>
      <c r="G8" s="20" t="n">
        <f aca="false">F8/C8</f>
        <v>0.233588757212881</v>
      </c>
      <c r="H8" s="21" t="n">
        <v>64.01</v>
      </c>
      <c r="I8" s="22" t="n">
        <v>235.3</v>
      </c>
      <c r="J8" s="19" t="n">
        <v>509961</v>
      </c>
      <c r="K8" s="23" t="n">
        <f aca="false">1478-4359</f>
        <v>-2881</v>
      </c>
      <c r="L8" s="23" t="n">
        <f aca="false">J8+K8</f>
        <v>507080</v>
      </c>
      <c r="M8" s="24" t="n">
        <f aca="false">L8/D8</f>
        <v>33.7176673980983</v>
      </c>
      <c r="N8" s="24" t="n">
        <f aca="false">J8/F8</f>
        <v>33.8642008101468</v>
      </c>
      <c r="O8" s="21" t="n">
        <v>207</v>
      </c>
      <c r="P8" s="24" t="n">
        <f aca="false">(J8/I8)/O8</f>
        <v>10.4699520193155</v>
      </c>
      <c r="Q8" s="25" t="n">
        <v>0.31</v>
      </c>
    </row>
    <row r="9" customFormat="false" ht="15" hidden="false" customHeight="true" outlineLevel="0" collapsed="false">
      <c r="B9" s="8" t="s">
        <v>12</v>
      </c>
      <c r="C9" s="19" t="n">
        <v>78868</v>
      </c>
      <c r="D9" s="19" t="n">
        <v>27318</v>
      </c>
      <c r="E9" s="20" t="n">
        <f aca="false">D9/C9</f>
        <v>0.346376223563422</v>
      </c>
      <c r="F9" s="19" t="n">
        <v>21018</v>
      </c>
      <c r="G9" s="20" t="n">
        <f aca="false">F9/C9</f>
        <v>0.266495917228787</v>
      </c>
      <c r="H9" s="21" t="n">
        <v>16.51</v>
      </c>
      <c r="I9" s="22" t="n">
        <v>1253</v>
      </c>
      <c r="J9" s="19" t="n">
        <v>355462</v>
      </c>
      <c r="K9" s="23" t="n">
        <f aca="false">2399-38128</f>
        <v>-35729</v>
      </c>
      <c r="L9" s="23" t="n">
        <f aca="false">J9+K9</f>
        <v>319733</v>
      </c>
      <c r="M9" s="24" t="n">
        <f aca="false">L9/D9</f>
        <v>11.7041145032579</v>
      </c>
      <c r="N9" s="24" t="n">
        <f aca="false">J9/F9</f>
        <v>16.9122656770387</v>
      </c>
      <c r="O9" s="21" t="n">
        <v>57.9</v>
      </c>
      <c r="P9" s="24" t="n">
        <f aca="false">(J9/I9)/O9</f>
        <v>4.89963293622077</v>
      </c>
      <c r="Q9" s="25" t="n">
        <v>0.293</v>
      </c>
    </row>
    <row r="10" customFormat="false" ht="15" hidden="false" customHeight="true" outlineLevel="0" collapsed="false">
      <c r="B10" s="8" t="s">
        <v>55</v>
      </c>
      <c r="C10" s="19" t="n">
        <v>23155</v>
      </c>
      <c r="D10" s="19" t="n">
        <v>5307</v>
      </c>
      <c r="E10" s="20" t="n">
        <f aca="false">D10/C10</f>
        <v>0.22919455841071</v>
      </c>
      <c r="F10" s="19" t="n">
        <v>3545</v>
      </c>
      <c r="G10" s="20" t="n">
        <f aca="false">F10/C10</f>
        <v>0.153098682789894</v>
      </c>
      <c r="H10" s="21" t="n">
        <v>18.38</v>
      </c>
      <c r="I10" s="22" t="n">
        <v>192.8</v>
      </c>
      <c r="J10" s="19" t="n">
        <v>277240</v>
      </c>
      <c r="K10" s="23" t="n">
        <f aca="false">444-706</f>
        <v>-262</v>
      </c>
      <c r="L10" s="23" t="n">
        <f aca="false">J10+K10</f>
        <v>276978</v>
      </c>
      <c r="M10" s="24" t="n">
        <f aca="false">L10/D10</f>
        <v>52.1910684002261</v>
      </c>
      <c r="N10" s="24" t="n">
        <f aca="false">J10/F10</f>
        <v>78.2059238363893</v>
      </c>
      <c r="O10" s="21" t="n">
        <v>27.5</v>
      </c>
      <c r="P10" s="24" t="n">
        <f aca="false">(J10/I10)/O10</f>
        <v>52.2897019992456</v>
      </c>
      <c r="Q10" s="25" t="n">
        <v>0.732</v>
      </c>
    </row>
    <row r="11" customFormat="false" ht="15" hidden="false" customHeight="true" outlineLevel="0" collapsed="false">
      <c r="B11" s="8" t="s">
        <v>56</v>
      </c>
      <c r="C11" s="19" t="n">
        <v>13193</v>
      </c>
      <c r="D11" s="19" t="n">
        <v>2450</v>
      </c>
      <c r="E11" s="20" t="n">
        <f aca="false">D11/C11</f>
        <v>0.185704540286516</v>
      </c>
      <c r="F11" s="19" t="n">
        <v>1869</v>
      </c>
      <c r="G11" s="20" t="n">
        <f aca="false">F11/C11</f>
        <v>0.14166603501857</v>
      </c>
      <c r="H11" s="21" t="n">
        <v>10.68</v>
      </c>
      <c r="I11" s="22" t="n">
        <v>177</v>
      </c>
      <c r="J11" s="19" t="n">
        <v>75384</v>
      </c>
      <c r="K11" s="23" t="n">
        <f aca="false">1287-8947</f>
        <v>-7660</v>
      </c>
      <c r="L11" s="23" t="n">
        <f aca="false">J11+K11</f>
        <v>67724</v>
      </c>
      <c r="M11" s="24" t="n">
        <f aca="false">L11/D11</f>
        <v>27.6424489795918</v>
      </c>
      <c r="N11" s="24" t="n">
        <f aca="false">J11/F11</f>
        <v>40.3338683788122</v>
      </c>
      <c r="O11" s="21" t="n">
        <v>64.4</v>
      </c>
      <c r="P11" s="24" t="n">
        <f aca="false">(J11/I11)/O11</f>
        <v>6.61332771870723</v>
      </c>
      <c r="Q11" s="25" t="n">
        <v>0.172</v>
      </c>
    </row>
    <row r="12" customFormat="false" ht="15" hidden="false" customHeight="true" outlineLevel="0" collapsed="false">
      <c r="B12" s="8" t="s">
        <v>57</v>
      </c>
      <c r="C12" s="19" t="n">
        <v>15178</v>
      </c>
      <c r="D12" s="19" t="n">
        <v>3189</v>
      </c>
      <c r="E12" s="20" t="n">
        <f aca="false">D12/C12</f>
        <v>0.210106733429964</v>
      </c>
      <c r="F12" s="19" t="n">
        <v>1861</v>
      </c>
      <c r="G12" s="20" t="n">
        <f aca="false">F12/C12</f>
        <v>0.122611674792463</v>
      </c>
      <c r="H12" s="21" t="n">
        <v>18.07</v>
      </c>
      <c r="I12" s="22" t="n">
        <v>103</v>
      </c>
      <c r="J12" s="19" t="n">
        <v>105865</v>
      </c>
      <c r="K12" s="23" t="n">
        <f aca="false">700-0</f>
        <v>700</v>
      </c>
      <c r="L12" s="23" t="n">
        <f aca="false">J12+K12</f>
        <v>106565</v>
      </c>
      <c r="M12" s="24" t="n">
        <f aca="false">L12/D12</f>
        <v>33.4164314832236</v>
      </c>
      <c r="N12" s="24" t="n">
        <f aca="false">J12/F12</f>
        <v>56.886082751209</v>
      </c>
      <c r="O12" s="21" t="n">
        <v>122.8</v>
      </c>
      <c r="P12" s="24" t="n">
        <f aca="false">(J12/I12)/O12</f>
        <v>8.36983333860409</v>
      </c>
      <c r="Q12" s="26" t="s">
        <v>58</v>
      </c>
    </row>
    <row r="13" customFormat="false" ht="15" hidden="false" customHeight="true" outlineLevel="0" collapsed="false">
      <c r="B13" s="8" t="s">
        <v>24</v>
      </c>
      <c r="C13" s="19" t="n">
        <v>13611</v>
      </c>
      <c r="D13" s="19" t="n">
        <v>2586</v>
      </c>
      <c r="E13" s="20" t="n">
        <f aca="false">D13/C13</f>
        <v>0.189993387701124</v>
      </c>
      <c r="F13" s="19" t="n">
        <v>1813</v>
      </c>
      <c r="G13" s="20" t="n">
        <f aca="false">F13/C13</f>
        <v>0.133201087355815</v>
      </c>
      <c r="H13" s="21" t="n">
        <v>15.6</v>
      </c>
      <c r="I13" s="22" t="n">
        <v>116.22</v>
      </c>
      <c r="J13" s="19" t="n">
        <v>108578</v>
      </c>
      <c r="K13" s="23" t="n">
        <f aca="false">900-0</f>
        <v>900</v>
      </c>
      <c r="L13" s="23" t="n">
        <f aca="false">J13+K13</f>
        <v>109478</v>
      </c>
      <c r="M13" s="24" t="n">
        <f aca="false">L13/D13</f>
        <v>42.3348801237432</v>
      </c>
      <c r="N13" s="24" t="n">
        <f aca="false">J13/F13</f>
        <v>59.888582460011</v>
      </c>
      <c r="O13" s="26" t="s">
        <v>58</v>
      </c>
      <c r="P13" s="26" t="s">
        <v>58</v>
      </c>
      <c r="Q13" s="26" t="s">
        <v>58</v>
      </c>
    </row>
    <row r="15" customFormat="false" ht="15" hidden="false" customHeight="true" outlineLevel="0" collapsed="false">
      <c r="B15" s="27" t="s">
        <v>59</v>
      </c>
      <c r="C15" s="28"/>
      <c r="D15" s="28"/>
      <c r="E15" s="29" t="n">
        <f aca="false">AVERAGE(E8:E13)</f>
        <v>0.232442328195328</v>
      </c>
      <c r="F15" s="28"/>
      <c r="G15" s="29" t="n">
        <f aca="false">AVERAGE(G8:G13)</f>
        <v>0.175110359066402</v>
      </c>
      <c r="H15" s="28"/>
      <c r="I15" s="28"/>
      <c r="J15" s="28"/>
      <c r="K15" s="28"/>
      <c r="L15" s="28"/>
      <c r="M15" s="30" t="n">
        <f aca="false">AVERAGE(M8:M13)</f>
        <v>33.5011018146902</v>
      </c>
      <c r="N15" s="30" t="n">
        <f aca="false">AVERAGE(N8:N13)</f>
        <v>47.6818206522678</v>
      </c>
      <c r="O15" s="28"/>
      <c r="P15" s="30" t="n">
        <f aca="false">AVERAGE(P8:P13)</f>
        <v>16.5284896024186</v>
      </c>
      <c r="Q15" s="29" t="n">
        <f aca="false">AVERAGE(Q8:Q13)</f>
        <v>0.37675</v>
      </c>
    </row>
    <row r="16" customFormat="false" ht="15" hidden="false" customHeight="true" outlineLevel="0" collapsed="false">
      <c r="B16" s="27" t="s">
        <v>60</v>
      </c>
      <c r="C16" s="28"/>
      <c r="D16" s="28"/>
      <c r="E16" s="29" t="n">
        <f aca="false">MEDIAN(E8:E13)</f>
        <v>0.219650645920337</v>
      </c>
      <c r="F16" s="28"/>
      <c r="G16" s="29" t="n">
        <f aca="false">MEDIAN(G8:G13)</f>
        <v>0.147382358904232</v>
      </c>
      <c r="H16" s="28"/>
      <c r="I16" s="28"/>
      <c r="J16" s="28"/>
      <c r="K16" s="28"/>
      <c r="L16" s="28"/>
      <c r="M16" s="30" t="n">
        <f aca="false">MEDIAN(M8:M13)</f>
        <v>33.5670494406609</v>
      </c>
      <c r="N16" s="30" t="n">
        <f aca="false">MEDIAN(N8:N13)</f>
        <v>48.6099755650106</v>
      </c>
      <c r="O16" s="28"/>
      <c r="P16" s="30" t="n">
        <f aca="false">MEDIAN(P8:P13)</f>
        <v>8.36983333860409</v>
      </c>
      <c r="Q16" s="29" t="n">
        <f aca="false">MEDIAN(Q8:Q13)</f>
        <v>0.3015</v>
      </c>
    </row>
    <row r="18" customFormat="false" ht="15" hidden="false" customHeight="true" outlineLevel="0" collapsed="false">
      <c r="B18" s="5" t="s">
        <v>61</v>
      </c>
    </row>
    <row r="19" customFormat="false" ht="15" hidden="false" customHeight="true" outlineLevel="0" collapsed="false">
      <c r="B19" s="31" t="s">
        <v>62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customFormat="false" ht="15" hidden="false" customHeight="true" outlineLevel="0" collapsed="false">
      <c r="B20" s="31" t="s">
        <v>63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customFormat="false" ht="15" hidden="false" customHeight="true" outlineLevel="0" collapsed="false">
      <c r="B21" s="31" t="s">
        <v>64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customFormat="false" ht="15" hidden="false" customHeight="true" outlineLevel="0" collapsed="false">
      <c r="B22" s="31" t="s">
        <v>65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</sheetData>
  <mergeCells count="4">
    <mergeCell ref="B19:Q19"/>
    <mergeCell ref="B20:Q20"/>
    <mergeCell ref="B21:Q21"/>
    <mergeCell ref="B22:Q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10" min="3" style="1" width="12"/>
  </cols>
  <sheetData>
    <row r="2" customFormat="false" ht="19.5" hidden="false" customHeight="true" outlineLevel="0" collapsed="false">
      <c r="B2" s="2" t="s">
        <v>66</v>
      </c>
    </row>
    <row r="3" customFormat="false" ht="15" hidden="false" customHeight="true" outlineLevel="0" collapsed="false">
      <c r="B3" s="3" t="s">
        <v>67</v>
      </c>
    </row>
    <row r="5" customFormat="false" ht="15" hidden="false" customHeight="true" outlineLevel="0" collapsed="false">
      <c r="B5" s="8"/>
      <c r="C5" s="11" t="s">
        <v>68</v>
      </c>
      <c r="D5" s="11" t="s">
        <v>69</v>
      </c>
      <c r="E5" s="11" t="s">
        <v>70</v>
      </c>
      <c r="F5" s="11" t="s">
        <v>71</v>
      </c>
      <c r="G5" s="11" t="s">
        <v>72</v>
      </c>
      <c r="H5" s="11" t="s">
        <v>73</v>
      </c>
      <c r="I5" s="11" t="s">
        <v>74</v>
      </c>
      <c r="J5" s="11" t="s">
        <v>75</v>
      </c>
    </row>
    <row r="7" customFormat="false" ht="15" hidden="false" customHeight="true" outlineLevel="0" collapsed="false">
      <c r="B7" s="32" t="s">
        <v>76</v>
      </c>
      <c r="C7" s="33"/>
      <c r="D7" s="33"/>
      <c r="E7" s="33"/>
      <c r="F7" s="33"/>
      <c r="G7" s="33"/>
      <c r="H7" s="33"/>
      <c r="I7" s="33"/>
      <c r="J7" s="33"/>
    </row>
    <row r="8" customFormat="false" ht="15" hidden="false" customHeight="true" outlineLevel="0" collapsed="false">
      <c r="B8" s="8" t="s">
        <v>77</v>
      </c>
      <c r="F8" s="18" t="n">
        <v>0.09</v>
      </c>
      <c r="G8" s="18" t="n">
        <v>0.09</v>
      </c>
      <c r="H8" s="18" t="n">
        <v>0.08</v>
      </c>
      <c r="I8" s="18" t="n">
        <v>0.08</v>
      </c>
      <c r="J8" s="18" t="n">
        <v>0.07</v>
      </c>
    </row>
    <row r="9" customFormat="false" ht="15" hidden="false" customHeight="true" outlineLevel="0" collapsed="false">
      <c r="B9" s="8" t="s">
        <v>78</v>
      </c>
      <c r="F9" s="18" t="n">
        <v>0.185</v>
      </c>
      <c r="G9" s="18" t="n">
        <v>0.19</v>
      </c>
      <c r="H9" s="18" t="n">
        <v>0.19</v>
      </c>
      <c r="I9" s="18" t="n">
        <v>0.195</v>
      </c>
      <c r="J9" s="18" t="n">
        <v>0.195</v>
      </c>
    </row>
    <row r="10" customFormat="false" ht="15" hidden="false" customHeight="true" outlineLevel="0" collapsed="false">
      <c r="B10" s="8" t="s">
        <v>79</v>
      </c>
      <c r="F10" s="18" t="n">
        <v>0.24</v>
      </c>
      <c r="G10" s="18" t="n">
        <v>0.24</v>
      </c>
      <c r="H10" s="18" t="n">
        <v>0.245</v>
      </c>
      <c r="I10" s="18" t="n">
        <v>0.245</v>
      </c>
      <c r="J10" s="18" t="n">
        <v>0.245</v>
      </c>
    </row>
    <row r="11" customFormat="false" ht="15" hidden="false" customHeight="true" outlineLevel="0" collapsed="false">
      <c r="B11" s="8" t="s">
        <v>80</v>
      </c>
      <c r="F11" s="18" t="n">
        <v>0.017</v>
      </c>
      <c r="G11" s="18" t="n">
        <v>0.017</v>
      </c>
      <c r="H11" s="18" t="n">
        <v>0.017</v>
      </c>
      <c r="I11" s="18" t="n">
        <v>0.017</v>
      </c>
      <c r="J11" s="18" t="n">
        <v>0.017</v>
      </c>
    </row>
    <row r="12" customFormat="false" ht="15" hidden="false" customHeight="true" outlineLevel="0" collapsed="false">
      <c r="B12" s="8" t="s">
        <v>81</v>
      </c>
      <c r="F12" s="18" t="n">
        <v>0.022</v>
      </c>
      <c r="G12" s="18" t="n">
        <v>0.022</v>
      </c>
      <c r="H12" s="18" t="n">
        <v>0.022</v>
      </c>
      <c r="I12" s="18" t="n">
        <v>0.022</v>
      </c>
      <c r="J12" s="18" t="n">
        <v>0.022</v>
      </c>
    </row>
    <row r="13" customFormat="false" ht="15" hidden="false" customHeight="true" outlineLevel="0" collapsed="false">
      <c r="B13" s="8" t="s">
        <v>82</v>
      </c>
      <c r="F13" s="18" t="n">
        <v>-0.023</v>
      </c>
      <c r="G13" s="18" t="n">
        <v>-0.023</v>
      </c>
      <c r="H13" s="18" t="n">
        <v>-0.023</v>
      </c>
      <c r="I13" s="18" t="n">
        <v>-0.023</v>
      </c>
      <c r="J13" s="18" t="n">
        <v>-0.023</v>
      </c>
    </row>
    <row r="14" customFormat="false" ht="15" hidden="false" customHeight="true" outlineLevel="0" collapsed="false">
      <c r="B14" s="8" t="s">
        <v>83</v>
      </c>
      <c r="F14" s="18" t="n">
        <v>0.075</v>
      </c>
      <c r="G14" s="18" t="n">
        <v>0.075</v>
      </c>
      <c r="H14" s="18" t="n">
        <v>0.075</v>
      </c>
      <c r="I14" s="18" t="n">
        <v>0.075</v>
      </c>
      <c r="J14" s="18" t="n">
        <v>0.075</v>
      </c>
    </row>
    <row r="15" customFormat="false" ht="15" hidden="false" customHeight="true" outlineLevel="0" collapsed="false">
      <c r="B15" s="8" t="s">
        <v>84</v>
      </c>
      <c r="F15" s="18" t="n">
        <v>0.84</v>
      </c>
      <c r="G15" s="18" t="n">
        <v>0.84</v>
      </c>
      <c r="H15" s="18" t="n">
        <v>0.84</v>
      </c>
      <c r="I15" s="18" t="n">
        <v>0.84</v>
      </c>
      <c r="J15" s="18" t="n">
        <v>0.84</v>
      </c>
    </row>
    <row r="17" customFormat="false" ht="15" hidden="false" customHeight="true" outlineLevel="0" collapsed="false">
      <c r="B17" s="26" t="s">
        <v>85</v>
      </c>
      <c r="C17" s="26"/>
      <c r="D17" s="26"/>
      <c r="E17" s="26"/>
      <c r="F17" s="26"/>
      <c r="G17" s="26"/>
      <c r="H17" s="26"/>
      <c r="I17" s="26"/>
      <c r="J17" s="26"/>
    </row>
    <row r="19" customFormat="false" ht="15" hidden="false" customHeight="true" outlineLevel="0" collapsed="false">
      <c r="B19" s="32" t="s">
        <v>86</v>
      </c>
      <c r="C19" s="33"/>
      <c r="D19" s="33"/>
      <c r="E19" s="33"/>
      <c r="F19" s="33"/>
      <c r="G19" s="33"/>
      <c r="H19" s="33"/>
      <c r="I19" s="33"/>
      <c r="J19" s="33"/>
    </row>
    <row r="20" customFormat="false" ht="15" hidden="false" customHeight="true" outlineLevel="0" collapsed="false">
      <c r="B20" s="34" t="s">
        <v>38</v>
      </c>
      <c r="C20" s="19" t="n">
        <v>16769</v>
      </c>
      <c r="D20" s="19" t="n">
        <v>17943</v>
      </c>
      <c r="E20" s="19" t="n">
        <v>19152</v>
      </c>
      <c r="F20" s="23" t="n">
        <f aca="false">E20*(1+F8)</f>
        <v>20875.68</v>
      </c>
      <c r="G20" s="23" t="n">
        <f aca="false">F20*(1+G8)</f>
        <v>22754.4912</v>
      </c>
      <c r="H20" s="23" t="n">
        <f aca="false">G20*(1+H8)</f>
        <v>24574.850496</v>
      </c>
      <c r="I20" s="23" t="n">
        <f aca="false">H20*(1+I8)</f>
        <v>26540.83853568</v>
      </c>
      <c r="J20" s="23" t="n">
        <f aca="false">I20*(1+J8)</f>
        <v>28398.6972331776</v>
      </c>
    </row>
    <row r="21" customFormat="false" ht="15" hidden="false" customHeight="true" outlineLevel="0" collapsed="false">
      <c r="B21" s="8" t="s">
        <v>87</v>
      </c>
      <c r="D21" s="20" t="n">
        <f aca="false">D20/C20-1</f>
        <v>0.0700101377541893</v>
      </c>
      <c r="E21" s="20" t="n">
        <f aca="false">E20/D20-1</f>
        <v>0.0673800367831465</v>
      </c>
      <c r="F21" s="20" t="n">
        <f aca="false">F20/E20-1</f>
        <v>0.0900000000000001</v>
      </c>
      <c r="G21" s="20" t="n">
        <f aca="false">G20/F20-1</f>
        <v>0.0900000000000001</v>
      </c>
      <c r="H21" s="20" t="n">
        <f aca="false">H20/G20-1</f>
        <v>0.0800000000000001</v>
      </c>
      <c r="I21" s="20" t="n">
        <f aca="false">I20/H20-1</f>
        <v>0.0800000000000001</v>
      </c>
      <c r="J21" s="20" t="n">
        <f aca="false">J20/I20-1</f>
        <v>0.0700000000000001</v>
      </c>
    </row>
    <row r="22" customFormat="false" ht="15" hidden="false" customHeight="true" outlineLevel="0" collapsed="false">
      <c r="B22" s="34" t="s">
        <v>88</v>
      </c>
      <c r="C22" s="19" t="n">
        <v>3167</v>
      </c>
      <c r="D22" s="19" t="n">
        <v>3176</v>
      </c>
      <c r="E22" s="19" t="n">
        <v>3514</v>
      </c>
      <c r="F22" s="23" t="n">
        <f aca="false">F20*F9</f>
        <v>3862.0008</v>
      </c>
      <c r="G22" s="23" t="n">
        <f aca="false">G20*G9</f>
        <v>4323.353328</v>
      </c>
      <c r="H22" s="23" t="n">
        <f aca="false">H20*H9</f>
        <v>4669.22159424</v>
      </c>
      <c r="I22" s="23" t="n">
        <f aca="false">I20*I9</f>
        <v>5175.4635144576</v>
      </c>
      <c r="J22" s="23" t="n">
        <f aca="false">J20*J9</f>
        <v>5537.74596046963</v>
      </c>
    </row>
    <row r="23" customFormat="false" ht="15" hidden="false" customHeight="true" outlineLevel="0" collapsed="false">
      <c r="B23" s="8" t="s">
        <v>89</v>
      </c>
      <c r="C23" s="20" t="n">
        <f aca="false">C22/C20</f>
        <v>0.188860397161429</v>
      </c>
      <c r="D23" s="20" t="n">
        <f aca="false">D22/D20</f>
        <v>0.177004960151591</v>
      </c>
      <c r="E23" s="20" t="n">
        <f aca="false">E22/E20</f>
        <v>0.183479532163743</v>
      </c>
      <c r="F23" s="20" t="n">
        <f aca="false">F22/F20</f>
        <v>0.185</v>
      </c>
      <c r="G23" s="20" t="n">
        <f aca="false">G22/G20</f>
        <v>0.19</v>
      </c>
      <c r="H23" s="20" t="n">
        <f aca="false">H22/H20</f>
        <v>0.19</v>
      </c>
      <c r="I23" s="20" t="n">
        <f aca="false">I22/I20</f>
        <v>0.195</v>
      </c>
      <c r="J23" s="20" t="n">
        <f aca="false">J22/J20</f>
        <v>0.195</v>
      </c>
    </row>
    <row r="24" customFormat="false" ht="15" hidden="false" customHeight="true" outlineLevel="0" collapsed="false">
      <c r="B24" s="8" t="s">
        <v>90</v>
      </c>
      <c r="C24" s="19" t="n">
        <v>-300</v>
      </c>
      <c r="D24" s="19" t="n">
        <v>-313</v>
      </c>
      <c r="E24" s="19" t="n">
        <v>-337</v>
      </c>
      <c r="F24" s="23" t="n">
        <f aca="false">-F20*F11</f>
        <v>-354.88656</v>
      </c>
      <c r="G24" s="23" t="n">
        <f aca="false">-G20*G11</f>
        <v>-386.8263504</v>
      </c>
      <c r="H24" s="23" t="n">
        <f aca="false">-H20*H11</f>
        <v>-417.772458432</v>
      </c>
      <c r="I24" s="23" t="n">
        <f aca="false">-I20*I11</f>
        <v>-451.19425510656</v>
      </c>
      <c r="J24" s="23" t="n">
        <f aca="false">-J20*J11</f>
        <v>-482.777852964019</v>
      </c>
    </row>
    <row r="25" customFormat="false" ht="15" hidden="false" customHeight="true" outlineLevel="0" collapsed="false">
      <c r="B25" s="34" t="s">
        <v>91</v>
      </c>
      <c r="C25" s="35" t="n">
        <f aca="false">C22+C24</f>
        <v>2867</v>
      </c>
      <c r="D25" s="35" t="n">
        <f aca="false">D22+D24</f>
        <v>2863</v>
      </c>
      <c r="E25" s="35" t="n">
        <f aca="false">E22+E24</f>
        <v>3177</v>
      </c>
      <c r="F25" s="35" t="n">
        <f aca="false">F22+F24</f>
        <v>3507.11424</v>
      </c>
      <c r="G25" s="35" t="n">
        <f aca="false">G22+G24</f>
        <v>3936.5269776</v>
      </c>
      <c r="H25" s="35" t="n">
        <f aca="false">H22+H24</f>
        <v>4251.449135808</v>
      </c>
      <c r="I25" s="35" t="n">
        <f aca="false">I22+I24</f>
        <v>4724.26925935104</v>
      </c>
      <c r="J25" s="35" t="n">
        <f aca="false">J22+J24</f>
        <v>5054.96810750562</v>
      </c>
    </row>
    <row r="26" customFormat="false" ht="15" hidden="false" customHeight="true" outlineLevel="0" collapsed="false">
      <c r="B26" s="8" t="s">
        <v>92</v>
      </c>
      <c r="C26" s="19" t="n">
        <v>211</v>
      </c>
      <c r="D26" s="19" t="n">
        <v>202</v>
      </c>
      <c r="E26" s="19" t="n">
        <v>224</v>
      </c>
      <c r="F26" s="23" t="n">
        <f aca="false">E26</f>
        <v>224</v>
      </c>
      <c r="G26" s="23" t="n">
        <f aca="false">E26</f>
        <v>224</v>
      </c>
      <c r="H26" s="23" t="n">
        <f aca="false">E26</f>
        <v>224</v>
      </c>
      <c r="I26" s="23" t="n">
        <f aca="false">E26</f>
        <v>224</v>
      </c>
      <c r="J26" s="23" t="n">
        <f aca="false">E26</f>
        <v>224</v>
      </c>
    </row>
    <row r="27" customFormat="false" ht="15" hidden="false" customHeight="true" outlineLevel="0" collapsed="false">
      <c r="B27" s="8" t="s">
        <v>93</v>
      </c>
      <c r="C27" s="19" t="n">
        <v>-164</v>
      </c>
      <c r="D27" s="19" t="n">
        <v>-139</v>
      </c>
      <c r="E27" s="19" t="n">
        <v>-113</v>
      </c>
      <c r="F27" s="36" t="n">
        <f aca="false">-F42*F14</f>
        <v>-103.5</v>
      </c>
      <c r="G27" s="36" t="n">
        <f aca="false">-G42*G14</f>
        <v>-103.5</v>
      </c>
      <c r="H27" s="36" t="n">
        <f aca="false">-H42*H14</f>
        <v>-103.5</v>
      </c>
      <c r="I27" s="36" t="n">
        <f aca="false">-I42*I14</f>
        <v>-103.5</v>
      </c>
      <c r="J27" s="36" t="n">
        <f aca="false">-J42*J14</f>
        <v>-103.5</v>
      </c>
    </row>
    <row r="28" customFormat="false" ht="15" hidden="false" customHeight="true" outlineLevel="0" collapsed="false">
      <c r="B28" s="34" t="s">
        <v>94</v>
      </c>
      <c r="C28" s="35" t="n">
        <f aca="false">C25+C26+C27</f>
        <v>2914</v>
      </c>
      <c r="D28" s="35" t="n">
        <f aca="false">D25+D26+D27</f>
        <v>2926</v>
      </c>
      <c r="E28" s="35" t="n">
        <f aca="false">E25+E26+E27</f>
        <v>3288</v>
      </c>
      <c r="F28" s="35" t="n">
        <f aca="false">F25+F26+F27</f>
        <v>3627.61424</v>
      </c>
      <c r="G28" s="35" t="n">
        <f aca="false">G25+G26+G27</f>
        <v>4057.0269776</v>
      </c>
      <c r="H28" s="35" t="n">
        <f aca="false">H25+H26+H27</f>
        <v>4371.949135808</v>
      </c>
      <c r="I28" s="35" t="n">
        <f aca="false">I25+I26+I27</f>
        <v>4844.76925935104</v>
      </c>
      <c r="J28" s="35" t="n">
        <f aca="false">J25+J26+J27</f>
        <v>5175.46810750562</v>
      </c>
    </row>
    <row r="29" customFormat="false" ht="15" hidden="false" customHeight="true" outlineLevel="0" collapsed="false">
      <c r="B29" s="8" t="s">
        <v>95</v>
      </c>
      <c r="C29" s="19" t="n">
        <v>-786</v>
      </c>
      <c r="D29" s="19" t="n">
        <v>-749</v>
      </c>
      <c r="E29" s="19" t="n">
        <v>-752</v>
      </c>
      <c r="F29" s="23" t="n">
        <f aca="false">-F28*F10</f>
        <v>-870.6274176</v>
      </c>
      <c r="G29" s="23" t="n">
        <f aca="false">-G28*G10</f>
        <v>-973.686474624</v>
      </c>
      <c r="H29" s="23" t="n">
        <f aca="false">-H28*H10</f>
        <v>-1071.12753827296</v>
      </c>
      <c r="I29" s="23" t="n">
        <f aca="false">-I28*I10</f>
        <v>-1186.96846854101</v>
      </c>
      <c r="J29" s="23" t="n">
        <f aca="false">-J28*J10</f>
        <v>-1267.98968633888</v>
      </c>
    </row>
    <row r="30" customFormat="false" ht="15" hidden="false" customHeight="true" outlineLevel="0" collapsed="false">
      <c r="B30" s="34" t="s">
        <v>96</v>
      </c>
      <c r="C30" s="35" t="n">
        <f aca="false">C28+C29</f>
        <v>2128</v>
      </c>
      <c r="D30" s="35" t="n">
        <f aca="false">D28+D29</f>
        <v>2177</v>
      </c>
      <c r="E30" s="35" t="n">
        <f aca="false">E28+E29</f>
        <v>2536</v>
      </c>
      <c r="F30" s="35" t="n">
        <f aca="false">F28+F29</f>
        <v>2756.9868224</v>
      </c>
      <c r="G30" s="35" t="n">
        <f aca="false">G28+G29</f>
        <v>3083.340502976</v>
      </c>
      <c r="H30" s="35" t="n">
        <f aca="false">H28+H29</f>
        <v>3300.82159753504</v>
      </c>
      <c r="I30" s="35" t="n">
        <f aca="false">I28+I29</f>
        <v>3657.80079081004</v>
      </c>
      <c r="J30" s="35" t="n">
        <f aca="false">J28+J29</f>
        <v>3907.47842116674</v>
      </c>
    </row>
    <row r="31" customFormat="false" ht="15" hidden="false" customHeight="true" outlineLevel="0" collapsed="false">
      <c r="B31" s="8" t="s">
        <v>97</v>
      </c>
      <c r="C31" s="20" t="n">
        <f aca="false">C30/C20</f>
        <v>0.12690082891049</v>
      </c>
      <c r="D31" s="20" t="n">
        <f aca="false">D30/D20</f>
        <v>0.121328651841944</v>
      </c>
      <c r="E31" s="20" t="n">
        <f aca="false">E30/E20</f>
        <v>0.132414369256475</v>
      </c>
      <c r="F31" s="20" t="n">
        <f aca="false">F30/F20</f>
        <v>0.132066922964905</v>
      </c>
      <c r="G31" s="20" t="n">
        <f aca="false">G30/G20</f>
        <v>0.135504699967802</v>
      </c>
      <c r="H31" s="20" t="n">
        <f aca="false">H30/H20</f>
        <v>0.13431705710976</v>
      </c>
      <c r="I31" s="20" t="n">
        <f aca="false">I30/I20</f>
        <v>0.137817830657185</v>
      </c>
      <c r="J31" s="20" t="n">
        <f aca="false">J30/J20</f>
        <v>0.137593580053444</v>
      </c>
    </row>
    <row r="33" customFormat="false" ht="15" hidden="false" customHeight="true" outlineLevel="0" collapsed="false">
      <c r="B33" s="32" t="s">
        <v>98</v>
      </c>
      <c r="C33" s="33"/>
      <c r="D33" s="33"/>
      <c r="E33" s="33"/>
      <c r="F33" s="33"/>
      <c r="G33" s="33"/>
      <c r="H33" s="33"/>
      <c r="I33" s="33"/>
      <c r="J33" s="33"/>
    </row>
    <row r="34" customFormat="false" ht="15" hidden="false" customHeight="true" outlineLevel="0" collapsed="false">
      <c r="B34" s="8" t="s">
        <v>99</v>
      </c>
      <c r="C34" s="26" t="s">
        <v>58</v>
      </c>
      <c r="D34" s="19" t="n">
        <v>2771</v>
      </c>
      <c r="E34" s="19" t="n">
        <v>2904</v>
      </c>
      <c r="F34" s="23" t="n">
        <f aca="false">E37</f>
        <v>2850</v>
      </c>
      <c r="G34" s="23" t="n">
        <f aca="false">F37</f>
        <v>2954.3784</v>
      </c>
      <c r="H34" s="23" t="n">
        <f aca="false">G37</f>
        <v>3068.150856</v>
      </c>
      <c r="I34" s="23" t="n">
        <f aca="false">H37</f>
        <v>3191.02510848</v>
      </c>
      <c r="J34" s="23" t="n">
        <f aca="false">I37</f>
        <v>3323.7293011584</v>
      </c>
    </row>
    <row r="35" customFormat="false" ht="15" hidden="false" customHeight="true" outlineLevel="0" collapsed="false">
      <c r="B35" s="8" t="s">
        <v>100</v>
      </c>
      <c r="C35" s="26" t="s">
        <v>58</v>
      </c>
      <c r="D35" s="19" t="n">
        <v>188</v>
      </c>
      <c r="E35" s="19" t="n">
        <v>89</v>
      </c>
      <c r="F35" s="23" t="n">
        <f aca="false">F20*F12</f>
        <v>459.26496</v>
      </c>
      <c r="G35" s="23" t="n">
        <f aca="false">G20*G12</f>
        <v>500.5988064</v>
      </c>
      <c r="H35" s="23" t="n">
        <f aca="false">H20*H12</f>
        <v>540.646710912</v>
      </c>
      <c r="I35" s="23" t="n">
        <f aca="false">I20*I12</f>
        <v>583.89844778496</v>
      </c>
      <c r="J35" s="23" t="n">
        <f aca="false">J20*J12</f>
        <v>624.771339129907</v>
      </c>
    </row>
    <row r="36" customFormat="false" ht="15" hidden="false" customHeight="true" outlineLevel="0" collapsed="false">
      <c r="B36" s="8" t="s">
        <v>90</v>
      </c>
      <c r="C36" s="26" t="s">
        <v>58</v>
      </c>
      <c r="D36" s="23" t="n">
        <v>-313</v>
      </c>
      <c r="E36" s="23" t="n">
        <v>-337</v>
      </c>
      <c r="F36" s="23" t="n">
        <f aca="false">F24</f>
        <v>-354.88656</v>
      </c>
      <c r="G36" s="23" t="n">
        <f aca="false">G24</f>
        <v>-386.8263504</v>
      </c>
      <c r="H36" s="23" t="n">
        <f aca="false">H24</f>
        <v>-417.772458432</v>
      </c>
      <c r="I36" s="23" t="n">
        <f aca="false">I24</f>
        <v>-451.19425510656</v>
      </c>
      <c r="J36" s="23" t="n">
        <f aca="false">J24</f>
        <v>-482.777852964019</v>
      </c>
    </row>
    <row r="37" customFormat="false" ht="15" hidden="false" customHeight="true" outlineLevel="0" collapsed="false">
      <c r="B37" s="34" t="s">
        <v>101</v>
      </c>
      <c r="C37" s="19" t="n">
        <v>2655</v>
      </c>
      <c r="D37" s="35" t="n">
        <f aca="false">D34+D35+D36</f>
        <v>2646</v>
      </c>
      <c r="E37" s="37" t="n">
        <v>2850</v>
      </c>
      <c r="F37" s="35" t="n">
        <f aca="false">F34+F35+F36</f>
        <v>2954.3784</v>
      </c>
      <c r="G37" s="35" t="n">
        <f aca="false">G34+G35+G36</f>
        <v>3068.150856</v>
      </c>
      <c r="H37" s="35" t="n">
        <f aca="false">H34+H35+H36</f>
        <v>3191.02510848</v>
      </c>
      <c r="I37" s="35" t="n">
        <f aca="false">I34+I35+I36</f>
        <v>3323.7293011584</v>
      </c>
      <c r="J37" s="35" t="n">
        <f aca="false">J34+J35+J36</f>
        <v>3465.72278732429</v>
      </c>
    </row>
    <row r="38" customFormat="false" ht="15" hidden="false" customHeight="true" outlineLevel="0" collapsed="false">
      <c r="B38" s="8" t="s">
        <v>102</v>
      </c>
      <c r="C38" s="19" t="n">
        <v>3324</v>
      </c>
      <c r="D38" s="19" t="n">
        <v>2767</v>
      </c>
      <c r="E38" s="19" t="n">
        <v>3610</v>
      </c>
      <c r="F38" s="23" t="n">
        <f aca="false">E38</f>
        <v>3610</v>
      </c>
      <c r="G38" s="23" t="n">
        <f aca="false">E38</f>
        <v>3610</v>
      </c>
      <c r="H38" s="23" t="n">
        <f aca="false">E38</f>
        <v>3610</v>
      </c>
      <c r="I38" s="23" t="n">
        <f aca="false">E38</f>
        <v>3610</v>
      </c>
      <c r="J38" s="23" t="n">
        <f aca="false">E38</f>
        <v>3610</v>
      </c>
    </row>
    <row r="39" customFormat="false" ht="15" hidden="false" customHeight="true" outlineLevel="0" collapsed="false">
      <c r="B39" s="8" t="s">
        <v>103</v>
      </c>
      <c r="C39" s="23" t="n">
        <f aca="false">C20*C13</f>
        <v>0</v>
      </c>
      <c r="D39" s="23" t="n">
        <f aca="false">D20*D13</f>
        <v>0</v>
      </c>
      <c r="E39" s="23" t="n">
        <f aca="false">E20*E13</f>
        <v>0</v>
      </c>
      <c r="F39" s="23" t="n">
        <f aca="false">F20*F13</f>
        <v>-480.14064</v>
      </c>
      <c r="G39" s="23" t="n">
        <f aca="false">G20*G13</f>
        <v>-523.3532976</v>
      </c>
      <c r="H39" s="23" t="n">
        <f aca="false">H20*H13</f>
        <v>-565.221561408</v>
      </c>
      <c r="I39" s="23" t="n">
        <f aca="false">I20*I13</f>
        <v>-610.43928632064</v>
      </c>
      <c r="J39" s="23" t="n">
        <f aca="false">J20*J13</f>
        <v>-653.170036363085</v>
      </c>
    </row>
    <row r="40" customFormat="false" ht="15" hidden="false" customHeight="true" outlineLevel="0" collapsed="false">
      <c r="B40" s="34" t="s">
        <v>104</v>
      </c>
      <c r="C40" s="26" t="s">
        <v>58</v>
      </c>
      <c r="D40" s="16" t="n">
        <f aca="false">D45-D37-D38-D39</f>
        <v>3425</v>
      </c>
      <c r="E40" s="16" t="n">
        <f aca="false">E45-E37-E38-E39</f>
        <v>3271</v>
      </c>
      <c r="F40" s="16" t="n">
        <f aca="false">F45-F37-F38-F39</f>
        <v>4379.930131584</v>
      </c>
      <c r="G40" s="16" t="n">
        <f aca="false">G45-G37-G38-G39</f>
        <v>5121.03931366016</v>
      </c>
      <c r="H40" s="16" t="n">
        <f aca="false">H45-H37-H38-H39</f>
        <v>5876.59554059377</v>
      </c>
      <c r="I40" s="16" t="n">
        <f aca="false">I45-I37-I38-I39</f>
        <v>6707.46242015761</v>
      </c>
      <c r="J40" s="16" t="n">
        <f aca="false">J45-J37-J38-J39</f>
        <v>7548.18066507685</v>
      </c>
    </row>
    <row r="41" customFormat="false" ht="15" hidden="false" customHeight="true" outlineLevel="0" collapsed="false">
      <c r="B41" s="34" t="s">
        <v>105</v>
      </c>
      <c r="C41" s="35" t="n">
        <f aca="false">SUM(C37,C38,C39,C40)</f>
        <v>5979</v>
      </c>
      <c r="D41" s="35" t="n">
        <f aca="false">SUM(D37,D38,D39,D40)</f>
        <v>8838</v>
      </c>
      <c r="E41" s="35" t="n">
        <f aca="false">SUM(E37,E38,E39,E40)</f>
        <v>9731</v>
      </c>
      <c r="F41" s="35" t="n">
        <f aca="false">SUM(F37,F38,F39,F40)</f>
        <v>10464.167891584</v>
      </c>
      <c r="G41" s="35" t="n">
        <f aca="false">SUM(G37,G38,G39,G40)</f>
        <v>11275.8368720602</v>
      </c>
      <c r="H41" s="35" t="n">
        <f aca="false">SUM(H37,H38,H39,H40)</f>
        <v>12112.3990876658</v>
      </c>
      <c r="I41" s="35" t="n">
        <f aca="false">SUM(I37,I38,I39,I40)</f>
        <v>13030.7524349954</v>
      </c>
      <c r="J41" s="35" t="n">
        <f aca="false">SUM(J37,J38,J39,J40)</f>
        <v>13970.7334160381</v>
      </c>
    </row>
    <row r="42" customFormat="false" ht="15" hidden="false" customHeight="true" outlineLevel="0" collapsed="false">
      <c r="B42" s="8" t="s">
        <v>106</v>
      </c>
      <c r="C42" s="19" t="n">
        <v>2065</v>
      </c>
      <c r="D42" s="19" t="n">
        <v>1247</v>
      </c>
      <c r="E42" s="19" t="n">
        <v>1380</v>
      </c>
      <c r="F42" s="23" t="n">
        <f aca="false">E42</f>
        <v>1380</v>
      </c>
      <c r="G42" s="23" t="n">
        <f aca="false">E42</f>
        <v>1380</v>
      </c>
      <c r="H42" s="23" t="n">
        <f aca="false">E42</f>
        <v>1380</v>
      </c>
      <c r="I42" s="23" t="n">
        <f aca="false">E42</f>
        <v>1380</v>
      </c>
      <c r="J42" s="23" t="n">
        <f aca="false">E42</f>
        <v>1380</v>
      </c>
    </row>
    <row r="43" customFormat="false" ht="15" hidden="false" customHeight="true" outlineLevel="0" collapsed="false">
      <c r="B43" s="8" t="s">
        <v>107</v>
      </c>
      <c r="C43" s="19" t="n">
        <v>3065</v>
      </c>
      <c r="D43" s="19" t="n">
        <v>3235</v>
      </c>
      <c r="E43" s="19" t="n">
        <v>3245</v>
      </c>
      <c r="F43" s="23" t="n">
        <f aca="false">F20*(E43/E20)</f>
        <v>3537.05</v>
      </c>
      <c r="G43" s="23" t="n">
        <f aca="false">G20*(E43/E20)</f>
        <v>3855.3845</v>
      </c>
      <c r="H43" s="23" t="n">
        <f aca="false">H20*(E43/E20)</f>
        <v>4163.81526</v>
      </c>
      <c r="I43" s="23" t="n">
        <f aca="false">I20*(E43/E20)</f>
        <v>4496.9204808</v>
      </c>
      <c r="J43" s="23" t="n">
        <f aca="false">J20*(E43/E20)</f>
        <v>4811.704914456</v>
      </c>
    </row>
    <row r="44" customFormat="false" ht="15" hidden="false" customHeight="true" outlineLevel="0" collapsed="false">
      <c r="B44" s="34" t="s">
        <v>108</v>
      </c>
      <c r="C44" s="19" t="n">
        <v>3941</v>
      </c>
      <c r="D44" s="19" t="n">
        <v>4356</v>
      </c>
      <c r="E44" s="19" t="n">
        <v>5106</v>
      </c>
      <c r="F44" s="23" t="n">
        <f aca="false">E44+F30*(1-F15)</f>
        <v>5547.117891584</v>
      </c>
      <c r="G44" s="23" t="n">
        <f aca="false">F44+G30*(1-G15)</f>
        <v>6040.45237206016</v>
      </c>
      <c r="H44" s="23" t="n">
        <f aca="false">G44+H30*(1-H15)</f>
        <v>6568.58382766577</v>
      </c>
      <c r="I44" s="23" t="n">
        <f aca="false">H44+I30*(1-I15)</f>
        <v>7153.83195419537</v>
      </c>
      <c r="J44" s="23" t="n">
        <f aca="false">I44+J30*(1-J15)</f>
        <v>7779.02850158205</v>
      </c>
    </row>
    <row r="45" customFormat="false" ht="15" hidden="false" customHeight="true" outlineLevel="0" collapsed="false">
      <c r="B45" s="34" t="s">
        <v>109</v>
      </c>
      <c r="C45" s="26" t="s">
        <v>58</v>
      </c>
      <c r="D45" s="35" t="n">
        <f aca="false">SUM(D42,D43,D44)</f>
        <v>8838</v>
      </c>
      <c r="E45" s="35" t="n">
        <f aca="false">SUM(E42,E43,E44)</f>
        <v>9731</v>
      </c>
      <c r="F45" s="35" t="n">
        <f aca="false">SUM(F42,F43,F44)</f>
        <v>10464.167891584</v>
      </c>
      <c r="G45" s="35" t="n">
        <f aca="false">SUM(G42,G43,G44)</f>
        <v>11275.8368720602</v>
      </c>
      <c r="H45" s="35" t="n">
        <f aca="false">SUM(H42,H43,H44)</f>
        <v>12112.3990876658</v>
      </c>
      <c r="I45" s="35" t="n">
        <f aca="false">SUM(I42,I43,I44)</f>
        <v>13030.7524349954</v>
      </c>
      <c r="J45" s="35" t="n">
        <f aca="false">SUM(J42,J43,J44)</f>
        <v>13970.7334160381</v>
      </c>
    </row>
    <row r="47" customFormat="false" ht="15" hidden="false" customHeight="true" outlineLevel="0" collapsed="false">
      <c r="B47" s="32" t="s">
        <v>110</v>
      </c>
      <c r="C47" s="33"/>
      <c r="D47" s="33"/>
      <c r="E47" s="33"/>
      <c r="F47" s="33"/>
      <c r="G47" s="33"/>
      <c r="H47" s="33"/>
      <c r="I47" s="33"/>
      <c r="J47" s="33"/>
    </row>
    <row r="48" customFormat="false" ht="15" hidden="false" customHeight="true" outlineLevel="0" collapsed="false">
      <c r="B48" s="8" t="s">
        <v>96</v>
      </c>
      <c r="C48" s="26" t="s">
        <v>58</v>
      </c>
      <c r="D48" s="23" t="n">
        <f aca="false">D30</f>
        <v>2177</v>
      </c>
      <c r="E48" s="23" t="n">
        <f aca="false">E30</f>
        <v>2536</v>
      </c>
      <c r="F48" s="23" t="n">
        <f aca="false">F30</f>
        <v>2756.9868224</v>
      </c>
      <c r="G48" s="23" t="n">
        <f aca="false">G30</f>
        <v>3083.340502976</v>
      </c>
      <c r="H48" s="23" t="n">
        <f aca="false">H30</f>
        <v>3300.82159753504</v>
      </c>
      <c r="I48" s="23" t="n">
        <f aca="false">I30</f>
        <v>3657.80079081004</v>
      </c>
      <c r="J48" s="23" t="n">
        <f aca="false">J30</f>
        <v>3907.47842116674</v>
      </c>
    </row>
    <row r="49" customFormat="false" ht="15" hidden="false" customHeight="true" outlineLevel="0" collapsed="false">
      <c r="B49" s="8" t="s">
        <v>111</v>
      </c>
      <c r="C49" s="26" t="s">
        <v>58</v>
      </c>
      <c r="D49" s="23" t="n">
        <f aca="false">-D24</f>
        <v>313</v>
      </c>
      <c r="E49" s="23" t="n">
        <f aca="false">-E24</f>
        <v>337</v>
      </c>
      <c r="F49" s="23" t="n">
        <f aca="false">-F24</f>
        <v>354.88656</v>
      </c>
      <c r="G49" s="23" t="n">
        <f aca="false">-G24</f>
        <v>386.8263504</v>
      </c>
      <c r="H49" s="23" t="n">
        <f aca="false">-H24</f>
        <v>417.772458432</v>
      </c>
      <c r="I49" s="23" t="n">
        <f aca="false">-I24</f>
        <v>451.19425510656</v>
      </c>
      <c r="J49" s="23" t="n">
        <f aca="false">-J24</f>
        <v>482.777852964019</v>
      </c>
    </row>
    <row r="50" customFormat="false" ht="15" hidden="false" customHeight="true" outlineLevel="0" collapsed="false">
      <c r="B50" s="8" t="s">
        <v>112</v>
      </c>
      <c r="D50" s="38" t="s">
        <v>58</v>
      </c>
      <c r="E50" s="23" t="n">
        <f aca="false">-(E39-D39)</f>
        <v>-0</v>
      </c>
      <c r="F50" s="23" t="n">
        <f aca="false">-(F39-E39)</f>
        <v>480.14064</v>
      </c>
      <c r="G50" s="23" t="n">
        <f aca="false">-(G39-F39)</f>
        <v>43.2126576</v>
      </c>
      <c r="H50" s="23" t="n">
        <f aca="false">-(H39-G39)</f>
        <v>41.8682638080001</v>
      </c>
      <c r="I50" s="23" t="n">
        <f aca="false">-(I39-H39)</f>
        <v>45.2177249126401</v>
      </c>
      <c r="J50" s="23" t="n">
        <f aca="false">-(J39-I39)</f>
        <v>42.7307500424449</v>
      </c>
    </row>
    <row r="51" customFormat="false" ht="15" hidden="false" customHeight="true" outlineLevel="0" collapsed="false">
      <c r="B51" s="34" t="s">
        <v>113</v>
      </c>
      <c r="C51" s="26" t="s">
        <v>58</v>
      </c>
      <c r="D51" s="39" t="s">
        <v>58</v>
      </c>
      <c r="E51" s="35" t="n">
        <f aca="false">SUM(E48:E50)</f>
        <v>2873</v>
      </c>
      <c r="F51" s="35" t="n">
        <f aca="false">SUM(F48:F50)</f>
        <v>3592.0140224</v>
      </c>
      <c r="G51" s="35" t="n">
        <f aca="false">SUM(G48:G50)</f>
        <v>3513.379510976</v>
      </c>
      <c r="H51" s="35" t="n">
        <f aca="false">SUM(H48:H50)</f>
        <v>3760.46231977504</v>
      </c>
      <c r="I51" s="35" t="n">
        <f aca="false">SUM(I48:I50)</f>
        <v>4154.21277082924</v>
      </c>
      <c r="J51" s="35" t="n">
        <f aca="false">SUM(J48:J50)</f>
        <v>4432.9870241732</v>
      </c>
    </row>
    <row r="52" customFormat="false" ht="15" hidden="false" customHeight="true" outlineLevel="0" collapsed="false">
      <c r="B52" s="8" t="s">
        <v>114</v>
      </c>
      <c r="C52" s="26" t="s">
        <v>58</v>
      </c>
      <c r="D52" s="23" t="n">
        <f aca="false">-D35</f>
        <v>-188</v>
      </c>
      <c r="E52" s="23" t="n">
        <f aca="false">-E35</f>
        <v>-89</v>
      </c>
      <c r="F52" s="23" t="n">
        <f aca="false">-F35</f>
        <v>-459.26496</v>
      </c>
      <c r="G52" s="23" t="n">
        <f aca="false">-G35</f>
        <v>-500.5988064</v>
      </c>
      <c r="H52" s="23" t="n">
        <f aca="false">-H35</f>
        <v>-540.646710912</v>
      </c>
      <c r="I52" s="23" t="n">
        <f aca="false">-I35</f>
        <v>-583.89844778496</v>
      </c>
      <c r="J52" s="23" t="n">
        <f aca="false">-J35</f>
        <v>-624.771339129907</v>
      </c>
    </row>
    <row r="53" customFormat="false" ht="15" hidden="false" customHeight="true" outlineLevel="0" collapsed="false">
      <c r="B53" s="34" t="s">
        <v>115</v>
      </c>
      <c r="C53" s="26" t="s">
        <v>58</v>
      </c>
      <c r="D53" s="40" t="s">
        <v>58</v>
      </c>
      <c r="E53" s="16" t="n">
        <f aca="false">E51+E52</f>
        <v>2784</v>
      </c>
      <c r="F53" s="16" t="n">
        <f aca="false">F51+F52</f>
        <v>3132.7490624</v>
      </c>
      <c r="G53" s="16" t="n">
        <f aca="false">G51+G52</f>
        <v>3012.780704576</v>
      </c>
      <c r="H53" s="16" t="n">
        <f aca="false">H51+H52</f>
        <v>3219.81560886304</v>
      </c>
      <c r="I53" s="16" t="n">
        <f aca="false">I51+I52</f>
        <v>3570.31432304428</v>
      </c>
      <c r="J53" s="16" t="n">
        <f aca="false">J51+J52</f>
        <v>3808.2156850433</v>
      </c>
    </row>
    <row r="54" customFormat="false" ht="15" hidden="false" customHeight="true" outlineLevel="0" collapsed="false">
      <c r="B54" s="8" t="s">
        <v>116</v>
      </c>
      <c r="C54" s="26" t="s">
        <v>58</v>
      </c>
      <c r="D54" s="23" t="n">
        <f aca="false">-D30*D15</f>
        <v>-0</v>
      </c>
      <c r="E54" s="23" t="n">
        <f aca="false">-E30*E15</f>
        <v>-0</v>
      </c>
      <c r="F54" s="23" t="n">
        <f aca="false">-F30*F15</f>
        <v>-2315.868930816</v>
      </c>
      <c r="G54" s="23" t="n">
        <f aca="false">-G30*G15</f>
        <v>-2590.00602249984</v>
      </c>
      <c r="H54" s="23" t="n">
        <f aca="false">-H30*H15</f>
        <v>-2772.69014192943</v>
      </c>
      <c r="I54" s="23" t="n">
        <f aca="false">-I30*I15</f>
        <v>-3072.55266428043</v>
      </c>
      <c r="J54" s="23" t="n">
        <f aca="false">-J30*J15</f>
        <v>-3282.28187378006</v>
      </c>
    </row>
    <row r="55" customFormat="false" ht="15" hidden="false" customHeight="true" outlineLevel="0" collapsed="false">
      <c r="B55" s="34" t="s">
        <v>117</v>
      </c>
      <c r="C55" s="26" t="s">
        <v>58</v>
      </c>
      <c r="D55" s="41" t="s">
        <v>58</v>
      </c>
      <c r="E55" s="35" t="n">
        <f aca="false">E51-E35+E54</f>
        <v>2784</v>
      </c>
      <c r="F55" s="35" t="n">
        <f aca="false">F51-F35+F54</f>
        <v>816.880131584</v>
      </c>
      <c r="G55" s="35" t="n">
        <f aca="false">G51-G35+G54</f>
        <v>422.77468207616</v>
      </c>
      <c r="H55" s="35" t="n">
        <f aca="false">H51-H35+H54</f>
        <v>447.125466933607</v>
      </c>
      <c r="I55" s="35" t="n">
        <f aca="false">I51-I35+I54</f>
        <v>497.761658763846</v>
      </c>
      <c r="J55" s="35" t="n">
        <f aca="false">J51-J35+J54</f>
        <v>525.933811263235</v>
      </c>
    </row>
  </sheetData>
  <mergeCells count="1"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118</v>
      </c>
    </row>
    <row r="3" customFormat="false" ht="15" hidden="false" customHeight="true" outlineLevel="0" collapsed="false">
      <c r="B3" s="3" t="s">
        <v>119</v>
      </c>
    </row>
    <row r="5" customFormat="false" ht="15" hidden="false" customHeight="true" outlineLevel="0" collapsed="false">
      <c r="B5" s="32" t="s">
        <v>120</v>
      </c>
      <c r="C5" s="33"/>
      <c r="D5" s="33"/>
      <c r="E5" s="33"/>
      <c r="F5" s="33"/>
      <c r="G5" s="33"/>
      <c r="H5" s="33"/>
      <c r="I5" s="33"/>
    </row>
    <row r="6" customFormat="false" ht="15" hidden="false" customHeight="true" outlineLevel="0" collapsed="false">
      <c r="B6" s="8" t="s">
        <v>121</v>
      </c>
      <c r="C6" s="18" t="n">
        <v>0.11</v>
      </c>
    </row>
    <row r="7" customFormat="false" ht="15" hidden="false" customHeight="true" outlineLevel="0" collapsed="false">
      <c r="B7" s="8" t="s">
        <v>122</v>
      </c>
      <c r="C7" s="18" t="n">
        <v>0.05</v>
      </c>
    </row>
    <row r="8" customFormat="false" ht="15" hidden="false" customHeight="true" outlineLevel="0" collapsed="false">
      <c r="B8" s="8" t="s">
        <v>123</v>
      </c>
      <c r="C8" s="22" t="n">
        <v>24</v>
      </c>
    </row>
    <row r="9" customFormat="false" ht="15" hidden="false" customHeight="true" outlineLevel="0" collapsed="false">
      <c r="B9" s="8" t="s">
        <v>124</v>
      </c>
      <c r="C9" s="42" t="n">
        <v>5171</v>
      </c>
    </row>
    <row r="11" customFormat="false" ht="15" hidden="false" customHeight="true" outlineLevel="0" collapsed="false">
      <c r="B11" s="32" t="s">
        <v>125</v>
      </c>
      <c r="C11" s="33"/>
      <c r="D11" s="33"/>
      <c r="E11" s="33"/>
      <c r="F11" s="33"/>
      <c r="G11" s="33"/>
      <c r="H11" s="33"/>
      <c r="I11" s="33"/>
    </row>
    <row r="12" customFormat="false" ht="15" hidden="false" customHeight="true" outlineLevel="0" collapsed="false">
      <c r="B12" s="8"/>
      <c r="C12" s="43" t="s">
        <v>71</v>
      </c>
      <c r="D12" s="43" t="s">
        <v>72</v>
      </c>
      <c r="E12" s="43" t="s">
        <v>73</v>
      </c>
      <c r="F12" s="43" t="s">
        <v>74</v>
      </c>
      <c r="G12" s="43" t="s">
        <v>75</v>
      </c>
    </row>
    <row r="13" customFormat="false" ht="15" hidden="false" customHeight="true" outlineLevel="0" collapsed="false">
      <c r="B13" s="8" t="s">
        <v>115</v>
      </c>
      <c r="C13" s="44" t="n">
        <f aca="false">'3-Statement Model'!F53</f>
        <v>3132.7490624</v>
      </c>
      <c r="D13" s="44" t="n">
        <f aca="false">'3-Statement Model'!G53</f>
        <v>3012.780704576</v>
      </c>
      <c r="E13" s="44" t="n">
        <f aca="false">'3-Statement Model'!H53</f>
        <v>3219.81560886304</v>
      </c>
      <c r="F13" s="44" t="n">
        <f aca="false">'3-Statement Model'!I53</f>
        <v>3570.31432304428</v>
      </c>
      <c r="G13" s="44" t="n">
        <f aca="false">'3-Statement Model'!J53</f>
        <v>3808.2156850433</v>
      </c>
    </row>
    <row r="14" customFormat="false" ht="15" hidden="false" customHeight="true" outlineLevel="0" collapsed="false">
      <c r="B14" s="8" t="s">
        <v>126</v>
      </c>
      <c r="C14" s="45" t="n">
        <v>1</v>
      </c>
      <c r="D14" s="45" t="n">
        <v>2</v>
      </c>
      <c r="E14" s="45" t="n">
        <v>3</v>
      </c>
      <c r="F14" s="45" t="n">
        <v>4</v>
      </c>
      <c r="G14" s="45" t="n">
        <v>5</v>
      </c>
    </row>
    <row r="15" customFormat="false" ht="15" hidden="false" customHeight="true" outlineLevel="0" collapsed="false">
      <c r="B15" s="8" t="s">
        <v>127</v>
      </c>
      <c r="C15" s="46" t="n">
        <f aca="false">1/(1+C6)^C14</f>
        <v>0.900900900900901</v>
      </c>
      <c r="D15" s="46" t="n">
        <f aca="false">1/(1+C6)^D14</f>
        <v>0.811622433244055</v>
      </c>
      <c r="E15" s="46" t="n">
        <f aca="false">1/(1+C6)^E14</f>
        <v>0.73119138130095</v>
      </c>
      <c r="F15" s="46" t="n">
        <f aca="false">1/(1+C6)^F14</f>
        <v>0.658730974145</v>
      </c>
      <c r="G15" s="46" t="n">
        <f aca="false">1/(1+C6)^G14</f>
        <v>0.593451328058559</v>
      </c>
    </row>
    <row r="16" customFormat="false" ht="15" hidden="false" customHeight="true" outlineLevel="0" collapsed="false">
      <c r="B16" s="47" t="s">
        <v>128</v>
      </c>
      <c r="C16" s="35" t="n">
        <f aca="false">C13*C15</f>
        <v>2822.29645261261</v>
      </c>
      <c r="D16" s="35" t="n">
        <f aca="false">D13*D15</f>
        <v>2445.24040627871</v>
      </c>
      <c r="E16" s="35" t="n">
        <f aca="false">E13*E15</f>
        <v>2354.30142257893</v>
      </c>
      <c r="F16" s="35" t="n">
        <f aca="false">F13*F15</f>
        <v>2351.8766320228</v>
      </c>
      <c r="G16" s="35" t="n">
        <f aca="false">G13*G15</f>
        <v>2259.99065582238</v>
      </c>
    </row>
    <row r="18" customFormat="false" ht="15" hidden="false" customHeight="true" outlineLevel="0" collapsed="false">
      <c r="B18" s="32" t="s">
        <v>129</v>
      </c>
      <c r="C18" s="33"/>
      <c r="D18" s="33"/>
      <c r="E18" s="33"/>
      <c r="F18" s="33"/>
      <c r="G18" s="33"/>
      <c r="H18" s="33"/>
      <c r="I18" s="33"/>
    </row>
    <row r="19" customFormat="false" ht="15" hidden="false" customHeight="true" outlineLevel="0" collapsed="false">
      <c r="B19" s="8" t="s">
        <v>130</v>
      </c>
      <c r="C19" s="23" t="n">
        <f aca="false">G13</f>
        <v>3808.2156850433</v>
      </c>
    </row>
    <row r="20" customFormat="false" ht="15" hidden="false" customHeight="true" outlineLevel="0" collapsed="false">
      <c r="B20" s="8" t="s">
        <v>131</v>
      </c>
      <c r="C20" s="23" t="n">
        <f aca="false">C19*(1+C7)/(C6-C7)</f>
        <v>66643.7744882577</v>
      </c>
    </row>
    <row r="21" customFormat="false" ht="15" hidden="false" customHeight="true" outlineLevel="0" collapsed="false">
      <c r="B21" s="8" t="s">
        <v>132</v>
      </c>
      <c r="C21" s="35" t="n">
        <f aca="false">C20/(1+C6)^5</f>
        <v>39549.8364768916</v>
      </c>
    </row>
    <row r="22" customFormat="false" ht="15" hidden="false" customHeight="true" outlineLevel="0" collapsed="false">
      <c r="B22" s="8" t="s">
        <v>133</v>
      </c>
      <c r="C22" s="35" t="n">
        <f aca="false">SUM(C16:G16)</f>
        <v>12233.7055693154</v>
      </c>
    </row>
    <row r="23" customFormat="false" ht="15" hidden="false" customHeight="true" outlineLevel="0" collapsed="false">
      <c r="B23" s="47" t="s">
        <v>134</v>
      </c>
      <c r="C23" s="48" t="n">
        <f aca="false">C22+C21</f>
        <v>51783.542046207</v>
      </c>
    </row>
    <row r="24" customFormat="false" ht="15" hidden="false" customHeight="true" outlineLevel="0" collapsed="false">
      <c r="B24" s="8" t="s">
        <v>135</v>
      </c>
      <c r="C24" s="20" t="n">
        <f aca="false">C21/C23</f>
        <v>0.763753017157475</v>
      </c>
    </row>
    <row r="26" customFormat="false" ht="15" hidden="false" customHeight="true" outlineLevel="0" collapsed="false">
      <c r="B26" s="32" t="s">
        <v>136</v>
      </c>
      <c r="C26" s="33"/>
      <c r="D26" s="33"/>
      <c r="E26" s="33"/>
      <c r="F26" s="33"/>
      <c r="G26" s="33"/>
      <c r="H26" s="33"/>
      <c r="I26" s="33"/>
    </row>
    <row r="27" customFormat="false" ht="15" hidden="false" customHeight="true" outlineLevel="0" collapsed="false">
      <c r="B27" s="8" t="s">
        <v>137</v>
      </c>
      <c r="C27" s="44" t="n">
        <f aca="false">'3-Statement Model'!E42-'3-Statement Model'!E38</f>
        <v>-2230</v>
      </c>
    </row>
    <row r="28" customFormat="false" ht="15" hidden="false" customHeight="true" outlineLevel="0" collapsed="false">
      <c r="B28" s="47" t="s">
        <v>138</v>
      </c>
      <c r="C28" s="48" t="n">
        <f aca="false">C23-C27</f>
        <v>54013.542046207</v>
      </c>
    </row>
    <row r="29" customFormat="false" ht="15" hidden="false" customHeight="true" outlineLevel="0" collapsed="false">
      <c r="B29" s="8" t="s">
        <v>139</v>
      </c>
      <c r="C29" s="45" t="n">
        <f aca="false">C8</f>
        <v>24</v>
      </c>
    </row>
    <row r="30" customFormat="false" ht="15" hidden="false" customHeight="true" outlineLevel="0" collapsed="false">
      <c r="B30" s="49" t="s">
        <v>140</v>
      </c>
      <c r="C30" s="50" t="n">
        <f aca="false">C28/C29</f>
        <v>2250.56425192529</v>
      </c>
    </row>
    <row r="31" customFormat="false" ht="15" hidden="false" customHeight="true" outlineLevel="0" collapsed="false">
      <c r="B31" s="8" t="s">
        <v>141</v>
      </c>
      <c r="C31" s="51" t="n">
        <f aca="false">C9</f>
        <v>5171</v>
      </c>
    </row>
    <row r="32" customFormat="false" ht="15" hidden="false" customHeight="true" outlineLevel="0" collapsed="false">
      <c r="B32" s="47" t="s">
        <v>142</v>
      </c>
      <c r="C32" s="52" t="n">
        <f aca="false">C30/C31-1</f>
        <v>-0.564771948960493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8" min="3" style="1" width="13"/>
  </cols>
  <sheetData>
    <row r="2" customFormat="false" ht="19.5" hidden="false" customHeight="true" outlineLevel="0" collapsed="false">
      <c r="B2" s="2" t="s">
        <v>143</v>
      </c>
    </row>
    <row r="3" customFormat="false" ht="15" hidden="false" customHeight="true" outlineLevel="0" collapsed="false">
      <c r="B3" s="3" t="s">
        <v>144</v>
      </c>
    </row>
    <row r="5" customFormat="false" ht="15" hidden="false" customHeight="true" outlineLevel="0" collapsed="false">
      <c r="B5" s="32" t="s">
        <v>145</v>
      </c>
      <c r="C5" s="33"/>
      <c r="D5" s="33"/>
      <c r="E5" s="33"/>
      <c r="F5" s="33"/>
      <c r="G5" s="33"/>
      <c r="H5" s="33"/>
    </row>
    <row r="7" customFormat="false" ht="15" hidden="false" customHeight="true" outlineLevel="0" collapsed="false">
      <c r="B7" s="43" t="s">
        <v>146</v>
      </c>
      <c r="C7" s="53" t="n">
        <v>0.03</v>
      </c>
      <c r="D7" s="53" t="n">
        <v>0.04</v>
      </c>
      <c r="E7" s="53" t="n">
        <v>0.05</v>
      </c>
      <c r="F7" s="53" t="n">
        <v>0.06</v>
      </c>
      <c r="G7" s="53" t="n">
        <v>0.07</v>
      </c>
    </row>
    <row r="8" customFormat="false" ht="15" hidden="false" customHeight="true" outlineLevel="0" collapsed="false">
      <c r="B8" s="53" t="n">
        <v>0.09</v>
      </c>
      <c r="C8" s="51" t="n">
        <f aca="false">(SUMPRODUCT('DCF Valuation'!$C$13:$G$13,1/(1+$B8)^{1,2,3,4,5})+('DCF Valuation'!$G$13*(1+C$7))/($B8-C$7)/(1+$B8)^5-'DCF Valuation'!$C$27)/'DCF Valuation'!$C$29</f>
        <v>2400.80839135917</v>
      </c>
      <c r="D8" s="51" t="n">
        <f aca="false">(SUMPRODUCT('DCF Valuation'!$C$13:$G$13,1/(1+$B8)^{1,2,3,4,5})+('DCF Valuation'!$G$13*(1+D$7))/($B8-D$7)/(1+$B8)^5-'DCF Valuation'!$C$27)/'DCF Valuation'!$C$29</f>
        <v>2775.5078358673</v>
      </c>
      <c r="E8" s="51" t="n">
        <f aca="false">(SUMPRODUCT('DCF Valuation'!$C$13:$G$13,1/(1+$B8)^{1,2,3,4,5})+('DCF Valuation'!$G$13*(1+E$7))/($B8-E$7)/(1+$B8)^5-'DCF Valuation'!$C$27)/'DCF Valuation'!$C$29</f>
        <v>3337.55700262951</v>
      </c>
      <c r="F8" s="51" t="n">
        <f aca="false">(SUMPRODUCT('DCF Valuation'!$C$13:$G$13,1/(1+$B8)^{1,2,3,4,5})+('DCF Valuation'!$G$13*(1+F$7))/($B8-F$7)/(1+$B8)^5-'DCF Valuation'!$C$27)/'DCF Valuation'!$C$29</f>
        <v>4274.30561389985</v>
      </c>
      <c r="G8" s="51" t="n">
        <f aca="false">(SUMPRODUCT('DCF Valuation'!$C$13:$G$13,1/(1+$B8)^{1,2,3,4,5})+('DCF Valuation'!$G$13*(1+G$7))/($B8-G$7)/(1+$B8)^5-'DCF Valuation'!$C$27)/'DCF Valuation'!$C$29</f>
        <v>6147.80283644054</v>
      </c>
    </row>
    <row r="9" customFormat="false" ht="15" hidden="false" customHeight="true" outlineLevel="0" collapsed="false">
      <c r="B9" s="53" t="n">
        <v>0.1</v>
      </c>
      <c r="C9" s="51" t="n">
        <f aca="false">(SUMPRODUCT('DCF Valuation'!$C$13:$G$13,1/(1+$B9)^{1,2,3,4,5})+('DCF Valuation'!$G$13*(1+C$7))/($B9-C$7)/(1+$B9)^5-'DCF Valuation'!$C$27)/'DCF Valuation'!$C$29</f>
        <v>2065.98164294018</v>
      </c>
      <c r="D9" s="51" t="n">
        <f aca="false">(SUMPRODUCT('DCF Valuation'!$C$13:$G$13,1/(1+$B9)^{1,2,3,4,5})+('DCF Valuation'!$G$13*(1+D$7))/($B9-D$7)/(1+$B9)^5-'DCF Valuation'!$C$27)/'DCF Valuation'!$C$29</f>
        <v>2324.0235629617</v>
      </c>
      <c r="E9" s="51" t="n">
        <f aca="false">(SUMPRODUCT('DCF Valuation'!$C$13:$G$13,1/(1+$B9)^{1,2,3,4,5})+('DCF Valuation'!$G$13*(1+E$7))/($B9-E$7)/(1+$B9)^5-'DCF Valuation'!$C$27)/'DCF Valuation'!$C$29</f>
        <v>2685.28225099182</v>
      </c>
      <c r="F9" s="51" t="n">
        <f aca="false">(SUMPRODUCT('DCF Valuation'!$C$13:$G$13,1/(1+$B9)^{1,2,3,4,5})+('DCF Valuation'!$G$13*(1+F$7))/($B9-F$7)/(1+$B9)^5-'DCF Valuation'!$C$27)/'DCF Valuation'!$C$29</f>
        <v>3227.170283037</v>
      </c>
      <c r="G9" s="51" t="n">
        <f aca="false">(SUMPRODUCT('DCF Valuation'!$C$13:$G$13,1/(1+$B9)^{1,2,3,4,5})+('DCF Valuation'!$G$13*(1+G$7))/($B9-G$7)/(1+$B9)^5-'DCF Valuation'!$C$27)/'DCF Valuation'!$C$29</f>
        <v>4130.31700311231</v>
      </c>
    </row>
    <row r="10" customFormat="false" ht="15" hidden="false" customHeight="true" outlineLevel="0" collapsed="false">
      <c r="B10" s="53" t="n">
        <v>0.11</v>
      </c>
      <c r="C10" s="51" t="n">
        <f aca="false">(SUMPRODUCT('DCF Valuation'!$C$13:$G$13,1/(1+$B10)^{1,2,3,4,5})+('DCF Valuation'!$G$13*(1+C$7))/($B10-C$7)/(1+$B10)^5-'DCF Valuation'!$C$27)/'DCF Valuation'!$C$29</f>
        <v>1815.04521929286</v>
      </c>
      <c r="D10" s="51" t="n">
        <f aca="false">(SUMPRODUCT('DCF Valuation'!$C$13:$G$13,1/(1+$B10)^{1,2,3,4,5})+('DCF Valuation'!$G$13*(1+D$7))/($B10-D$7)/(1+$B10)^5-'DCF Valuation'!$C$27)/'DCF Valuation'!$C$29</f>
        <v>2001.69623327819</v>
      </c>
      <c r="E10" s="54" t="n">
        <f aca="false">(SUMPRODUCT('DCF Valuation'!$C$13:$G$13,1/(1+$B10)^{1,2,3,4,5})+('DCF Valuation'!$G$13*(1+E$7))/($B10-E$7)/(1+$B10)^5-'DCF Valuation'!$C$27)/'DCF Valuation'!$C$29</f>
        <v>2250.56425192529</v>
      </c>
      <c r="F10" s="51" t="n">
        <f aca="false">(SUMPRODUCT('DCF Valuation'!$C$13:$G$13,1/(1+$B10)^{1,2,3,4,5})+('DCF Valuation'!$G$13*(1+F$7))/($B10-F$7)/(1+$B10)^5-'DCF Valuation'!$C$27)/'DCF Valuation'!$C$29</f>
        <v>2598.97947803124</v>
      </c>
      <c r="G10" s="51" t="n">
        <f aca="false">(SUMPRODUCT('DCF Valuation'!$C$13:$G$13,1/(1+$B10)^{1,2,3,4,5})+('DCF Valuation'!$G$13*(1+G$7))/($B10-G$7)/(1+$B10)^5-'DCF Valuation'!$C$27)/'DCF Valuation'!$C$29</f>
        <v>3121.60231719017</v>
      </c>
    </row>
    <row r="11" customFormat="false" ht="15" hidden="false" customHeight="true" outlineLevel="0" collapsed="false">
      <c r="B11" s="53" t="n">
        <v>0.12</v>
      </c>
      <c r="C11" s="51" t="n">
        <f aca="false">(SUMPRODUCT('DCF Valuation'!$C$13:$G$13,1/(1+$B11)^{1,2,3,4,5})+('DCF Valuation'!$G$13*(1+C$7))/($B11-C$7)/(1+$B11)^5-'DCF Valuation'!$C$27)/'DCF Valuation'!$C$29</f>
        <v>1620.02780029143</v>
      </c>
      <c r="D11" s="51" t="n">
        <f aca="false">(SUMPRODUCT('DCF Valuation'!$C$13:$G$13,1/(1+$B11)^{1,2,3,4,5})+('DCF Valuation'!$G$13*(1+D$7))/($B11-D$7)/(1+$B11)^5-'DCF Valuation'!$C$27)/'DCF Valuation'!$C$29</f>
        <v>1760.08508699918</v>
      </c>
      <c r="E11" s="51" t="n">
        <f aca="false">(SUMPRODUCT('DCF Valuation'!$C$13:$G$13,1/(1+$B11)^{1,2,3,4,5})+('DCF Valuation'!$G$13*(1+E$7))/($B11-E$7)/(1+$B11)^5-'DCF Valuation'!$C$27)/'DCF Valuation'!$C$29</f>
        <v>1940.15874133771</v>
      </c>
      <c r="F11" s="51" t="n">
        <f aca="false">(SUMPRODUCT('DCF Valuation'!$C$13:$G$13,1/(1+$B11)^{1,2,3,4,5})+('DCF Valuation'!$G$13*(1+F$7))/($B11-F$7)/(1+$B11)^5-'DCF Valuation'!$C$27)/'DCF Valuation'!$C$29</f>
        <v>2180.25694712241</v>
      </c>
      <c r="G11" s="51" t="n">
        <f aca="false">(SUMPRODUCT('DCF Valuation'!$C$13:$G$13,1/(1+$B11)^{1,2,3,4,5})+('DCF Valuation'!$G$13*(1+G$7))/($B11-G$7)/(1+$B11)^5-'DCF Valuation'!$C$27)/'DCF Valuation'!$C$29</f>
        <v>2516.39443522101</v>
      </c>
    </row>
    <row r="12" customFormat="false" ht="15" hidden="false" customHeight="true" outlineLevel="0" collapsed="false">
      <c r="B12" s="53" t="n">
        <v>0.13</v>
      </c>
      <c r="C12" s="51" t="n">
        <f aca="false">(SUMPRODUCT('DCF Valuation'!$C$13:$G$13,1/(1+$B12)^{1,2,3,4,5})+('DCF Valuation'!$G$13*(1+C$7))/($B12-C$7)/(1+$B12)^5-'DCF Valuation'!$C$27)/'DCF Valuation'!$C$29</f>
        <v>1464.146994774</v>
      </c>
      <c r="D12" s="51" t="n">
        <f aca="false">(SUMPRODUCT('DCF Valuation'!$C$13:$G$13,1/(1+$B12)^{1,2,3,4,5})+('DCF Valuation'!$G$13*(1+D$7))/($B12-D$7)/(1+$B12)^5-'DCF Valuation'!$C$27)/'DCF Valuation'!$C$29</f>
        <v>1572.2789391573</v>
      </c>
      <c r="E12" s="51" t="n">
        <f aca="false">(SUMPRODUCT('DCF Valuation'!$C$13:$G$13,1/(1+$B12)^{1,2,3,4,5})+('DCF Valuation'!$G$13*(1+E$7))/($B12-E$7)/(1+$B12)^5-'DCF Valuation'!$C$27)/'DCF Valuation'!$C$29</f>
        <v>1707.44386963643</v>
      </c>
      <c r="F12" s="51" t="n">
        <f aca="false">(SUMPRODUCT('DCF Valuation'!$C$13:$G$13,1/(1+$B12)^{1,2,3,4,5})+('DCF Valuation'!$G$13*(1+F$7))/($B12-F$7)/(1+$B12)^5-'DCF Valuation'!$C$27)/'DCF Valuation'!$C$29</f>
        <v>1881.22735168103</v>
      </c>
      <c r="G12" s="51" t="n">
        <f aca="false">(SUMPRODUCT('DCF Valuation'!$C$13:$G$13,1/(1+$B12)^{1,2,3,4,5})+('DCF Valuation'!$G$13*(1+G$7))/($B12-G$7)/(1+$B12)^5-'DCF Valuation'!$C$27)/'DCF Valuation'!$C$29</f>
        <v>2112.93866107383</v>
      </c>
    </row>
    <row r="14" customFormat="false" ht="15" hidden="false" customHeight="true" outlineLevel="0" collapsed="false">
      <c r="B14" s="34" t="s">
        <v>147</v>
      </c>
      <c r="C14" s="55" t="n">
        <f aca="false">'DCF Valuation'!$C$31</f>
        <v>5171</v>
      </c>
    </row>
    <row r="16" customFormat="false" ht="15" hidden="false" customHeight="true" outlineLevel="0" collapsed="false">
      <c r="B16" s="26" t="s">
        <v>148</v>
      </c>
      <c r="C16" s="26"/>
      <c r="D16" s="26"/>
      <c r="E16" s="26"/>
      <c r="F16" s="26"/>
      <c r="G16" s="26"/>
      <c r="H16" s="26"/>
    </row>
    <row r="17" customFormat="false" ht="30" hidden="false" customHeight="true" outlineLevel="0" collapsed="false">
      <c r="B17" s="26" t="s">
        <v>149</v>
      </c>
      <c r="C17" s="26"/>
      <c r="D17" s="26"/>
      <c r="E17" s="26"/>
      <c r="F17" s="26"/>
      <c r="G17" s="26"/>
      <c r="H17" s="26"/>
    </row>
    <row r="20" customFormat="false" ht="15" hidden="false" customHeight="true" outlineLevel="0" collapsed="false">
      <c r="B20" s="32" t="s">
        <v>150</v>
      </c>
      <c r="C20" s="33"/>
      <c r="D20" s="33"/>
      <c r="E20" s="33"/>
      <c r="F20" s="33"/>
      <c r="G20" s="33"/>
      <c r="H20" s="33"/>
    </row>
    <row r="21" customFormat="false" ht="30" hidden="false" customHeight="true" outlineLevel="0" collapsed="false">
      <c r="B21" s="26" t="s">
        <v>151</v>
      </c>
      <c r="C21" s="26"/>
      <c r="D21" s="26"/>
      <c r="E21" s="26"/>
      <c r="F21" s="26"/>
      <c r="G21" s="26"/>
      <c r="H21" s="26"/>
    </row>
  </sheetData>
  <mergeCells count="3">
    <mergeCell ref="B16:H16"/>
    <mergeCell ref="B17:H17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152</v>
      </c>
    </row>
    <row r="3" customFormat="false" ht="15" hidden="false" customHeight="true" outlineLevel="0" collapsed="false">
      <c r="B3" s="3" t="s">
        <v>153</v>
      </c>
    </row>
    <row r="5" customFormat="false" ht="30" hidden="false" customHeight="true" outlineLevel="0" collapsed="false">
      <c r="B5" s="11" t="s">
        <v>154</v>
      </c>
      <c r="C5" s="11" t="s">
        <v>155</v>
      </c>
      <c r="D5" s="11" t="s">
        <v>156</v>
      </c>
      <c r="E5" s="11" t="s">
        <v>157</v>
      </c>
      <c r="F5" s="11" t="s">
        <v>158</v>
      </c>
      <c r="G5" s="11" t="s">
        <v>159</v>
      </c>
      <c r="H5" s="11" t="s">
        <v>160</v>
      </c>
    </row>
    <row r="6" customFormat="false" ht="15" hidden="false" customHeight="true" outlineLevel="0" collapsed="false">
      <c r="B6" s="8" t="s">
        <v>161</v>
      </c>
      <c r="C6" s="56" t="n">
        <f aca="false">Comps!M15</f>
        <v>33.5011018146902</v>
      </c>
      <c r="D6" s="44" t="n">
        <f aca="false">Comps!D7</f>
        <v>3514</v>
      </c>
      <c r="E6" s="23" t="n">
        <f aca="false">C6*D6-Comps!K7</f>
        <v>119952.871776821</v>
      </c>
      <c r="F6" s="54" t="n">
        <f aca="false">E6/Comps!I7</f>
        <v>4998.03632403422</v>
      </c>
      <c r="G6" s="57" t="n">
        <f aca="false">'DCF Valuation'!C31</f>
        <v>5171</v>
      </c>
      <c r="H6" s="20" t="n">
        <f aca="false">F6/G6-1</f>
        <v>-0.0334487866884126</v>
      </c>
    </row>
    <row r="7" customFormat="false" ht="15" hidden="false" customHeight="true" outlineLevel="0" collapsed="false">
      <c r="B7" s="8" t="s">
        <v>162</v>
      </c>
      <c r="C7" s="56" t="n">
        <f aca="false">Comps!M16</f>
        <v>33.5670494406609</v>
      </c>
      <c r="D7" s="44" t="n">
        <f aca="false">Comps!D7</f>
        <v>3514</v>
      </c>
      <c r="E7" s="23" t="n">
        <f aca="false">C7*D7-Comps!K7</f>
        <v>120184.611734483</v>
      </c>
      <c r="F7" s="54" t="n">
        <f aca="false">E7/Comps!I7</f>
        <v>5007.69215560344</v>
      </c>
      <c r="G7" s="57" t="n">
        <f aca="false">'DCF Valuation'!C31</f>
        <v>5171</v>
      </c>
      <c r="H7" s="20" t="n">
        <f aca="false">F7/G7-1</f>
        <v>-0.0315814821884667</v>
      </c>
    </row>
    <row r="8" customFormat="false" ht="15" hidden="false" customHeight="true" outlineLevel="0" collapsed="false">
      <c r="B8" s="8" t="s">
        <v>163</v>
      </c>
      <c r="C8" s="56" t="n">
        <f aca="false">Comps!N15</f>
        <v>47.6818206522678</v>
      </c>
      <c r="D8" s="58" t="n">
        <f aca="false">Comps!H7</f>
        <v>105.18</v>
      </c>
      <c r="E8" s="26" t="s">
        <v>58</v>
      </c>
      <c r="F8" s="54" t="n">
        <f aca="false">C8*D8</f>
        <v>5015.17389620553</v>
      </c>
      <c r="G8" s="57" t="n">
        <f aca="false">'DCF Valuation'!C31</f>
        <v>5171</v>
      </c>
      <c r="H8" s="20" t="n">
        <f aca="false">F8/G8-1</f>
        <v>-0.0301346168622062</v>
      </c>
    </row>
    <row r="9" customFormat="false" ht="15" hidden="false" customHeight="true" outlineLevel="0" collapsed="false">
      <c r="B9" s="8" t="s">
        <v>164</v>
      </c>
      <c r="C9" s="56" t="n">
        <f aca="false">Comps!N16</f>
        <v>48.6099755650106</v>
      </c>
      <c r="D9" s="58" t="n">
        <f aca="false">Comps!H7</f>
        <v>105.18</v>
      </c>
      <c r="E9" s="26" t="s">
        <v>58</v>
      </c>
      <c r="F9" s="54" t="n">
        <f aca="false">C9*D9</f>
        <v>5112.79722992782</v>
      </c>
      <c r="G9" s="57" t="n">
        <f aca="false">'DCF Valuation'!C31</f>
        <v>5171</v>
      </c>
      <c r="H9" s="20" t="n">
        <f aca="false">F9/G9-1</f>
        <v>-0.0112556120812576</v>
      </c>
    </row>
    <row r="10" customFormat="false" ht="15" hidden="false" customHeight="true" outlineLevel="0" collapsed="false">
      <c r="B10" s="8" t="s">
        <v>165</v>
      </c>
      <c r="C10" s="56" t="n">
        <f aca="false">Comps!P15</f>
        <v>16.5284896024186</v>
      </c>
      <c r="D10" s="58" t="n">
        <f aca="false">Comps!O7</f>
        <v>212</v>
      </c>
      <c r="E10" s="26" t="s">
        <v>58</v>
      </c>
      <c r="F10" s="54" t="n">
        <f aca="false">C10*D10</f>
        <v>3504.03979571275</v>
      </c>
      <c r="G10" s="57" t="n">
        <f aca="false">'DCF Valuation'!C31</f>
        <v>5171</v>
      </c>
      <c r="H10" s="20" t="n">
        <f aca="false">F10/G10-1</f>
        <v>-0.322367086499178</v>
      </c>
    </row>
    <row r="11" customFormat="false" ht="15" hidden="false" customHeight="true" outlineLevel="0" collapsed="false">
      <c r="B11" s="8" t="s">
        <v>166</v>
      </c>
      <c r="C11" s="56" t="n">
        <f aca="false">Comps!P16</f>
        <v>8.36983333860409</v>
      </c>
      <c r="D11" s="58" t="n">
        <f aca="false">Comps!O7</f>
        <v>212</v>
      </c>
      <c r="E11" s="26" t="s">
        <v>58</v>
      </c>
      <c r="F11" s="54" t="n">
        <f aca="false">C11*D11</f>
        <v>1774.40466778407</v>
      </c>
      <c r="G11" s="57" t="n">
        <f aca="false">'DCF Valuation'!C31</f>
        <v>5171</v>
      </c>
      <c r="H11" s="20" t="n">
        <f aca="false">F11/G11-1</f>
        <v>-0.65685463782942</v>
      </c>
    </row>
    <row r="12" customFormat="false" ht="15" hidden="false" customHeight="true" outlineLevel="0" collapsed="false">
      <c r="B12" s="8" t="s">
        <v>167</v>
      </c>
      <c r="C12" s="26" t="s">
        <v>58</v>
      </c>
      <c r="D12" s="26" t="s">
        <v>58</v>
      </c>
      <c r="E12" s="26" t="s">
        <v>58</v>
      </c>
      <c r="F12" s="54" t="n">
        <f aca="false">'DCF Valuation'!C30</f>
        <v>2250.56425192529</v>
      </c>
      <c r="G12" s="57" t="n">
        <f aca="false">'DCF Valuation'!C31</f>
        <v>5171</v>
      </c>
      <c r="H12" s="20" t="n">
        <f aca="false">F12/G12-1</f>
        <v>-0.564771948960493</v>
      </c>
    </row>
    <row r="14" customFormat="false" ht="15" hidden="false" customHeight="true" outlineLevel="0" collapsed="false">
      <c r="B14" s="27" t="s">
        <v>168</v>
      </c>
      <c r="C14" s="28"/>
      <c r="D14" s="28"/>
      <c r="E14" s="28"/>
      <c r="F14" s="59" t="n">
        <f aca="false">AVERAGE(F6:F12)</f>
        <v>3951.81547445616</v>
      </c>
      <c r="G14" s="59" t="n">
        <f aca="false">'DCF Valuation'!C31</f>
        <v>5171</v>
      </c>
      <c r="H14" s="29" t="n">
        <f aca="false">F14/G14-1</f>
        <v>-0.235773453015633</v>
      </c>
    </row>
    <row r="15" customFormat="false" ht="15" hidden="false" customHeight="true" outlineLevel="0" collapsed="false">
      <c r="B15" s="27" t="s">
        <v>169</v>
      </c>
      <c r="C15" s="28"/>
      <c r="D15" s="28"/>
      <c r="E15" s="28"/>
      <c r="F15" s="59" t="n">
        <f aca="false">AVERAGE(F6:F9)</f>
        <v>5033.42490144275</v>
      </c>
      <c r="G15" s="59" t="n">
        <f aca="false">'DCF Valuation'!C31</f>
        <v>5171</v>
      </c>
      <c r="H15" s="29" t="n">
        <f aca="false">F15/G15-1</f>
        <v>-0.0266051244550858</v>
      </c>
    </row>
    <row r="18" customFormat="false" ht="27.75" hidden="false" customHeight="true" outlineLevel="0" collapsed="false">
      <c r="B18" s="26" t="s">
        <v>170</v>
      </c>
      <c r="C18" s="26"/>
      <c r="D18" s="26"/>
      <c r="E18" s="26"/>
      <c r="F18" s="26"/>
      <c r="G18" s="26"/>
      <c r="H18" s="26"/>
    </row>
    <row r="19" customFormat="false" ht="27.75" hidden="false" customHeight="true" outlineLevel="0" collapsed="false">
      <c r="B19" s="26" t="s">
        <v>171</v>
      </c>
      <c r="C19" s="26"/>
      <c r="D19" s="26"/>
      <c r="E19" s="26"/>
      <c r="F19" s="26"/>
      <c r="G19" s="26"/>
      <c r="H19" s="26"/>
    </row>
    <row r="21" customFormat="false" ht="15" hidden="false" customHeight="true" outlineLevel="0" collapsed="false">
      <c r="B21" s="32" t="s">
        <v>172</v>
      </c>
      <c r="C21" s="33"/>
      <c r="D21" s="33"/>
      <c r="E21" s="33"/>
      <c r="F21" s="33"/>
      <c r="G21" s="33"/>
      <c r="H21" s="33"/>
    </row>
    <row r="22" customFormat="false" ht="15" hidden="false" customHeight="true" outlineLevel="0" collapsed="false">
      <c r="B22" s="60" t="s">
        <v>173</v>
      </c>
      <c r="C22" s="60"/>
      <c r="D22" s="60"/>
      <c r="E22" s="60"/>
      <c r="F22" s="60"/>
      <c r="G22" s="60"/>
      <c r="H22" s="60"/>
    </row>
    <row r="23" customFormat="false" ht="15" hidden="false" customHeight="true" outlineLevel="0" collapsed="false">
      <c r="B23" s="60"/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  <row r="25" customFormat="false" ht="15" hidden="false" customHeight="true" outlineLevel="0" collapsed="false">
      <c r="B25" s="60"/>
      <c r="C25" s="60"/>
      <c r="D25" s="60"/>
      <c r="E25" s="60"/>
      <c r="F25" s="60"/>
      <c r="G25" s="60"/>
      <c r="H25" s="60"/>
    </row>
    <row r="26" customFormat="false" ht="15" hidden="false" customHeight="true" outlineLevel="0" collapsed="false">
      <c r="B26" s="60"/>
      <c r="C26" s="60"/>
      <c r="D26" s="60"/>
      <c r="E26" s="60"/>
      <c r="F26" s="60"/>
      <c r="G26" s="60"/>
      <c r="H26" s="60"/>
    </row>
    <row r="27" customFormat="false" ht="15" hidden="false" customHeight="true" outlineLevel="0" collapsed="false">
      <c r="B27" s="60"/>
      <c r="C27" s="60"/>
      <c r="D27" s="60"/>
      <c r="E27" s="60"/>
      <c r="F27" s="60"/>
      <c r="G27" s="60"/>
      <c r="H27" s="60"/>
    </row>
    <row r="28" customFormat="false" ht="15" hidden="false" customHeight="true" outlineLevel="0" collapsed="false">
      <c r="B28" s="60"/>
      <c r="C28" s="60"/>
      <c r="D28" s="60"/>
      <c r="E28" s="60"/>
      <c r="F28" s="60"/>
      <c r="G28" s="60"/>
      <c r="H28" s="60"/>
    </row>
    <row r="29" customFormat="false" ht="15" hidden="false" customHeight="true" outlineLevel="0" collapsed="false">
      <c r="B29" s="60"/>
      <c r="C29" s="60"/>
      <c r="D29" s="60"/>
      <c r="E29" s="60"/>
      <c r="F29" s="60"/>
      <c r="G29" s="60"/>
      <c r="H29" s="60"/>
    </row>
    <row r="30" customFormat="false" ht="15" hidden="false" customHeight="true" outlineLevel="0" collapsed="false">
      <c r="B30" s="60"/>
      <c r="C30" s="60"/>
      <c r="D30" s="60"/>
      <c r="E30" s="60"/>
      <c r="F30" s="60"/>
      <c r="G30" s="60"/>
      <c r="H30" s="60"/>
    </row>
    <row r="31" customFormat="false" ht="15" hidden="false" customHeight="true" outlineLevel="0" collapsed="false">
      <c r="B31" s="60"/>
      <c r="C31" s="60"/>
      <c r="D31" s="60"/>
      <c r="E31" s="60"/>
      <c r="F31" s="60"/>
      <c r="G31" s="60"/>
      <c r="H31" s="60"/>
    </row>
    <row r="32" customFormat="false" ht="15" hidden="false" customHeight="true" outlineLevel="0" collapsed="false">
      <c r="B32" s="60"/>
      <c r="C32" s="60"/>
      <c r="D32" s="60"/>
      <c r="E32" s="60"/>
      <c r="F32" s="60"/>
      <c r="G32" s="60"/>
      <c r="H32" s="60"/>
    </row>
    <row r="33" customFormat="false" ht="15" hidden="false" customHeight="true" outlineLevel="0" collapsed="false">
      <c r="B33" s="60"/>
      <c r="C33" s="60"/>
      <c r="D33" s="60"/>
      <c r="E33" s="60"/>
      <c r="F33" s="60"/>
      <c r="G33" s="60"/>
      <c r="H33" s="60"/>
    </row>
    <row r="34" customFormat="false" ht="15" hidden="false" customHeight="true" outlineLevel="0" collapsed="false">
      <c r="B34" s="60"/>
      <c r="C34" s="60"/>
      <c r="D34" s="60"/>
      <c r="E34" s="60"/>
      <c r="F34" s="60"/>
      <c r="G34" s="60"/>
      <c r="H34" s="60"/>
    </row>
    <row r="35" customFormat="false" ht="15" hidden="false" customHeight="true" outlineLevel="0" collapsed="false">
      <c r="B35" s="60"/>
      <c r="C35" s="60"/>
      <c r="D35" s="60"/>
      <c r="E35" s="60"/>
      <c r="F35" s="60"/>
      <c r="G35" s="60"/>
      <c r="H35" s="60"/>
    </row>
    <row r="36" customFormat="false" ht="15" hidden="false" customHeight="true" outlineLevel="0" collapsed="false">
      <c r="B36" s="60"/>
      <c r="C36" s="60"/>
      <c r="D36" s="60"/>
      <c r="E36" s="60"/>
      <c r="F36" s="60"/>
      <c r="G36" s="60"/>
      <c r="H36" s="60"/>
    </row>
    <row r="37" customFormat="false" ht="15" hidden="false" customHeight="true" outlineLevel="0" collapsed="false">
      <c r="B37" s="60"/>
      <c r="C37" s="60"/>
      <c r="D37" s="60"/>
      <c r="E37" s="60"/>
      <c r="F37" s="60"/>
      <c r="G37" s="60"/>
      <c r="H37" s="60"/>
    </row>
    <row r="38" customFormat="false" ht="15" hidden="false" customHeight="true" outlineLevel="0" collapsed="false">
      <c r="B38" s="60"/>
      <c r="C38" s="60"/>
      <c r="D38" s="60"/>
      <c r="E38" s="60"/>
      <c r="F38" s="60"/>
      <c r="G38" s="60"/>
      <c r="H38" s="60"/>
    </row>
    <row r="39" customFormat="false" ht="15" hidden="false" customHeight="true" outlineLevel="0" collapsed="false">
      <c r="B39" s="60"/>
      <c r="C39" s="60"/>
      <c r="D39" s="60"/>
      <c r="E39" s="60"/>
      <c r="F39" s="60"/>
      <c r="G39" s="60"/>
      <c r="H39" s="60"/>
    </row>
    <row r="40" customFormat="false" ht="15" hidden="false" customHeight="true" outlineLevel="0" collapsed="false">
      <c r="B40" s="60"/>
      <c r="C40" s="60"/>
      <c r="D40" s="60"/>
      <c r="E40" s="60"/>
      <c r="F40" s="60"/>
      <c r="G40" s="60"/>
      <c r="H40" s="60"/>
    </row>
    <row r="42" customFormat="false" ht="15" hidden="false" customHeight="true" outlineLevel="0" collapsed="false">
      <c r="B42" s="26" t="s">
        <v>174</v>
      </c>
      <c r="C42" s="26"/>
      <c r="D42" s="26"/>
      <c r="E42" s="26"/>
      <c r="F42" s="26"/>
      <c r="G42" s="26"/>
      <c r="H42" s="26"/>
    </row>
  </sheetData>
  <mergeCells count="4">
    <mergeCell ref="B18:H18"/>
    <mergeCell ref="B19:H19"/>
    <mergeCell ref="B22:H40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2026-07-01T08:27:58Z</dcterms:created>
  <dc:creator>openpyxl</dc:creator>
  <dc:description/>
  <dc:language>en-US</dc:language>
  <cp:lastModifiedBy/>
  <dcterms:modified xsi:type="dcterms:W3CDTF">2026-07-01T08:34:09Z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